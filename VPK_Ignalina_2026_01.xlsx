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dokumentai\ca\VPS\1_Finansai\2_Ekonomisciu dokumentai\Sigitos\Utenos VPK\SI-224011_Ignalina\01-12\"/>
    </mc:Choice>
  </mc:AlternateContent>
  <xr:revisionPtr revIDLastSave="0" documentId="13_ncr:1_{D04F2D54-5634-461A-9E6D-533D9F918B3D}" xr6:coauthVersionLast="47" xr6:coauthVersionMax="47" xr10:uidLastSave="{00000000-0000-0000-0000-000000000000}"/>
  <bookViews>
    <workbookView xWindow="-110" yWindow="-110" windowWidth="19420" windowHeight="11500" tabRatio="500" xr2:uid="{08876A85-5336-4B6A-AD4B-76D0E3F1E54C}"/>
  </bookViews>
  <sheets>
    <sheet name="Ignalinos" sheetId="14" r:id="rId1"/>
  </sheets>
  <definedNames>
    <definedName name="_xlnm.Print_Area" localSheetId="0">Ignalinos!$A$1:$V$54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4" l="1"/>
  <c r="K42" i="14"/>
  <c r="K43" i="14"/>
  <c r="K45" i="14"/>
  <c r="K44" i="14"/>
  <c r="AD9" i="14"/>
  <c r="AC9" i="14"/>
  <c r="AE9" i="14"/>
  <c r="K33" i="14"/>
  <c r="K16" i="14"/>
  <c r="K46" i="14"/>
  <c r="K47" i="14"/>
  <c r="K48" i="14"/>
  <c r="K49" i="14"/>
  <c r="K41" i="14"/>
  <c r="K40" i="14"/>
  <c r="B28" i="14"/>
  <c r="B25" i="14"/>
  <c r="B19" i="14"/>
  <c r="B15" i="14"/>
  <c r="B13" i="14"/>
  <c r="B12" i="14"/>
  <c r="B35" i="14"/>
  <c r="K38" i="14"/>
  <c r="K36" i="14"/>
  <c r="J15" i="14" a="1"/>
  <c r="J10" i="14" a="1"/>
  <c r="J20" i="14" a="1"/>
  <c r="J34" i="14" a="1"/>
  <c r="J19" i="14" a="1"/>
  <c r="J37" i="14" a="1"/>
  <c r="J12" i="14" a="1"/>
  <c r="J11" i="14" a="1"/>
  <c r="J23" i="14" a="1"/>
  <c r="J28" i="14" a="1"/>
  <c r="J13" i="14" a="1"/>
  <c r="J32" i="14" a="1"/>
  <c r="J39" i="14" a="1"/>
  <c r="J29" i="14" a="1"/>
  <c r="J31" i="14" a="1"/>
  <c r="J22" i="14" a="1"/>
  <c r="J30" i="14" a="1"/>
  <c r="J25" i="14" a="1"/>
  <c r="J26" i="14" a="1"/>
  <c r="J18" i="14" a="1"/>
  <c r="J24" i="14" a="1"/>
  <c r="J14" i="14" a="1"/>
  <c r="J12" i="14" l="1"/>
  <c r="K12" i="14" s="1"/>
  <c r="J19" i="14"/>
  <c r="K19" i="14" s="1"/>
  <c r="J20" i="14"/>
  <c r="K20" i="14" s="1"/>
  <c r="J10" i="14"/>
  <c r="K10" i="14" s="1"/>
  <c r="J29" i="14"/>
  <c r="K29" i="14" s="1"/>
  <c r="J24" i="14"/>
  <c r="K24" i="14" s="1"/>
  <c r="J39" i="14"/>
  <c r="K39" i="14" s="1"/>
  <c r="J26" i="14"/>
  <c r="K26" i="14" s="1"/>
  <c r="J15" i="14"/>
  <c r="K15" i="14" s="1"/>
  <c r="J22" i="14"/>
  <c r="K22" i="14" s="1"/>
  <c r="J34" i="14"/>
  <c r="K34" i="14" s="1"/>
  <c r="J37" i="14"/>
  <c r="K37" i="14" s="1"/>
  <c r="J31" i="14"/>
  <c r="K31" i="14" s="1"/>
  <c r="J30" i="14"/>
  <c r="K30" i="14" s="1"/>
  <c r="J32" i="14"/>
  <c r="K32" i="14" s="1"/>
  <c r="J28" i="14"/>
  <c r="K28" i="14" s="1"/>
  <c r="J13" i="14"/>
  <c r="K13" i="14" s="1"/>
  <c r="J14" i="14"/>
  <c r="K14" i="14" s="1"/>
  <c r="J18" i="14"/>
  <c r="K18" i="14" s="1"/>
  <c r="J25" i="14"/>
  <c r="K25" i="14" s="1"/>
  <c r="J11" i="14"/>
  <c r="K11" i="14" s="1"/>
  <c r="J23" i="14"/>
  <c r="K23" i="14" s="1"/>
  <c r="K51" i="14" l="1"/>
</calcChain>
</file>

<file path=xl/sharedStrings.xml><?xml version="1.0" encoding="utf-8"?>
<sst xmlns="http://schemas.openxmlformats.org/spreadsheetml/2006/main" count="157" uniqueCount="70">
  <si>
    <t>Savaitės dienos</t>
  </si>
  <si>
    <t>Pirmadienis</t>
  </si>
  <si>
    <t>Antradienis</t>
  </si>
  <si>
    <t>Trečiadienis</t>
  </si>
  <si>
    <t>Ketvirtadienis</t>
  </si>
  <si>
    <t>Penktadienis</t>
  </si>
  <si>
    <t>I aukštas</t>
  </si>
  <si>
    <t>Kabinetai</t>
  </si>
  <si>
    <t>X</t>
  </si>
  <si>
    <t>II aukštas</t>
  </si>
  <si>
    <t>III aukštas</t>
  </si>
  <si>
    <t>Rūsys</t>
  </si>
  <si>
    <t>Dušai (vyrams, moterims)</t>
  </si>
  <si>
    <t>Iš viso:</t>
  </si>
  <si>
    <t>Teritorijos priežiūra (šilt.laik.) šaligatviai, praėjimo takai, pandusas, laiptai</t>
  </si>
  <si>
    <t>Teritorijos priežiūra (šalt.laik.) šaligatviai, praėjimo takai, pandusas, laiptai</t>
  </si>
  <si>
    <t>Teritorijos priežiūra (šilt.laik. )</t>
  </si>
  <si>
    <t>Teritorijos priežiūra (šalt.laik.)</t>
  </si>
  <si>
    <t>Šaldytuvo valymas</t>
  </si>
  <si>
    <t>Mikrobangų krosnelės valymas</t>
  </si>
  <si>
    <t>Generalinis stiklinių pertvarų valymas pastato viduje</t>
  </si>
  <si>
    <t>1 kartas per mėn.</t>
  </si>
  <si>
    <t>Vidinių sienų valymas</t>
  </si>
  <si>
    <t>Objektas: Utenos apskr. VPK Ignalinos r. PK</t>
  </si>
  <si>
    <t>Adresas: Vasario 16-sios g. 11, Ignalina</t>
  </si>
  <si>
    <t>Kabinetai – MIGRACIJA</t>
  </si>
  <si>
    <t>Operatyvinės grupės patalpos</t>
  </si>
  <si>
    <t xml:space="preserve">Serverinė  </t>
  </si>
  <si>
    <t>Koridoriai, laiptinės</t>
  </si>
  <si>
    <t>Pagalbinės patalpos (persirengimas ir ginklinė )</t>
  </si>
  <si>
    <t xml:space="preserve">Koridoriai  </t>
  </si>
  <si>
    <t>Kt. pagalbinės patalpos</t>
  </si>
  <si>
    <t>Akmens masės plytelių impregnavimas</t>
  </si>
  <si>
    <t>Mato vnt.</t>
  </si>
  <si>
    <t>Periodiškumas</t>
  </si>
  <si>
    <t>vnt.</t>
  </si>
  <si>
    <t>Kaina</t>
  </si>
  <si>
    <t>Suma be PVM</t>
  </si>
  <si>
    <t>A higienos reikmenų ir priemonių krepšelis</t>
  </si>
  <si>
    <t>žm.</t>
  </si>
  <si>
    <t>Darbų atlikimo aktas</t>
  </si>
  <si>
    <t>Aktą sudarė:</t>
  </si>
  <si>
    <t>Ekonomistė Sigita Abasovienė</t>
  </si>
  <si>
    <t>Mėnuo</t>
  </si>
  <si>
    <t>Užsakovas: Utenos AVPK</t>
  </si>
  <si>
    <t>Vykdytojas: UAB "Socialinė integracija"</t>
  </si>
  <si>
    <t>UAB "Socialinė integracija"</t>
  </si>
  <si>
    <t>kv.m.</t>
  </si>
  <si>
    <t>kartai</t>
  </si>
  <si>
    <t>Virtuvių tvarkymas</t>
  </si>
  <si>
    <t>Langų valymas+Aukštuminis langų valymas</t>
  </si>
  <si>
    <t>Žolės pjovimas, grėbimas, išvežimas</t>
  </si>
  <si>
    <t>Plotas kv m./kiekis/val</t>
  </si>
  <si>
    <t>val.</t>
  </si>
  <si>
    <t>Dalia.jasiuliene@policija.lt</t>
  </si>
  <si>
    <t>Šventinės dienos</t>
  </si>
  <si>
    <t>Mechanizuotas sniego stumdymas nuo parkavimo vietų (visame kieme) ir nuo važiuojamosios dalies</t>
  </si>
  <si>
    <t>B</t>
  </si>
  <si>
    <t>SAUSIO 1-31</t>
  </si>
  <si>
    <t>2026-03-11</t>
  </si>
  <si>
    <t xml:space="preserve"> įkainis</t>
  </si>
  <si>
    <t>WC patalpos</t>
  </si>
  <si>
    <t>Koridoriai, laiptinės, tambūrai, holas</t>
  </si>
  <si>
    <t>Laikino sulaikymo patalpos</t>
  </si>
  <si>
    <t>Virtuvė-poilsio kambarys</t>
  </si>
  <si>
    <t>Salė (minkšta danga)</t>
  </si>
  <si>
    <t>Sporto salė ir persirengimas</t>
  </si>
  <si>
    <t>Poilsio kambarys</t>
  </si>
  <si>
    <r>
      <rPr>
        <b/>
        <sz val="10"/>
        <color rgb="FF000000"/>
        <rFont val="Liberation Sans"/>
        <charset val="2"/>
      </rPr>
      <t>I a.</t>
    </r>
    <r>
      <rPr>
        <sz val="11"/>
        <color rgb="FF000000"/>
        <rFont val="Times New Roman"/>
        <family val="1"/>
      </rPr>
      <t xml:space="preserve">: Operatyvinės grupės patalpos(22,84), WC patalpos(14,58), Koridoriai, laiptinės, tambūrai, holas(119), Laikino sulaikymo patalpos(25,64); </t>
    </r>
    <r>
      <rPr>
        <b/>
        <sz val="10"/>
        <color rgb="FF000000"/>
        <rFont val="Liberation Sans"/>
        <charset val="2"/>
      </rPr>
      <t>IIa</t>
    </r>
    <r>
      <rPr>
        <sz val="11"/>
        <color rgb="FF000000"/>
        <rFont val="Times New Roman"/>
        <family val="1"/>
      </rPr>
      <t xml:space="preserve">.: WC patalpos(9,83), Koridoriai, laiptinės(75); </t>
    </r>
    <r>
      <rPr>
        <b/>
        <sz val="10"/>
        <color rgb="FF000000"/>
        <rFont val="Liberation Sans"/>
        <charset val="2"/>
      </rPr>
      <t>Rūsys</t>
    </r>
    <r>
      <rPr>
        <sz val="11"/>
        <color rgb="FF000000"/>
        <rFont val="Times New Roman"/>
        <family val="1"/>
      </rPr>
      <t>: Dušai(8,66), Sporto salė ir persirengimas(96)</t>
    </r>
  </si>
  <si>
    <r>
      <rPr>
        <sz val="10"/>
        <color rgb="FF000000"/>
        <rFont val="Liberation Sans"/>
        <charset val="2"/>
      </rPr>
      <t xml:space="preserve">Savaiminių želdinių (samanų, žolių, išlendančių iš tarpų tarp trinkelių, </t>
    </r>
    <r>
      <rPr>
        <sz val="11"/>
        <color rgb="FF000000"/>
        <rFont val="Times New Roman"/>
        <family val="1"/>
      </rPr>
      <t>pastatų kampų, prie nuogrindų ir t.t.) naikinimas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</si>
</sst>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3">
    <font>
      <sz val="11"/>
      <color indexed="8"/>
      <name val="Calibri"/>
      <family val="2"/>
      <charset val="186"/>
    </font>
    <font>
      <sz val="10"/>
      <name val="Arial"/>
      <family val="2"/>
    </font>
    <font>
      <b/>
      <sz val="24"/>
      <color indexed="8"/>
      <name val="Calibri"/>
      <family val="2"/>
      <charset val="186"/>
    </font>
    <font>
      <sz val="18"/>
      <color indexed="8"/>
      <name val="Calibri"/>
      <family val="2"/>
      <charset val="186"/>
    </font>
    <font>
      <sz val="12"/>
      <color indexed="8"/>
      <name val="Calibri"/>
      <family val="2"/>
      <charset val="186"/>
    </font>
    <font>
      <sz val="10"/>
      <color indexed="63"/>
      <name val="Calibri"/>
      <family val="2"/>
      <charset val="186"/>
    </font>
    <font>
      <i/>
      <sz val="10"/>
      <color indexed="23"/>
      <name val="Calibri"/>
      <family val="2"/>
      <charset val="186"/>
    </font>
    <font>
      <sz val="10"/>
      <color indexed="17"/>
      <name val="Calibri"/>
      <family val="2"/>
      <charset val="186"/>
    </font>
    <font>
      <sz val="10"/>
      <color indexed="19"/>
      <name val="Calibri"/>
      <family val="2"/>
      <charset val="186"/>
    </font>
    <font>
      <sz val="10"/>
      <color indexed="10"/>
      <name val="Calibri"/>
      <family val="2"/>
      <charset val="186"/>
    </font>
    <font>
      <b/>
      <sz val="10"/>
      <color indexed="9"/>
      <name val="Calibri"/>
      <family val="2"/>
      <charset val="186"/>
    </font>
    <font>
      <b/>
      <sz val="10"/>
      <color indexed="8"/>
      <name val="Calibri"/>
      <family val="2"/>
      <charset val="186"/>
    </font>
    <font>
      <sz val="10"/>
      <color indexed="9"/>
      <name val="Calibri"/>
      <family val="2"/>
      <charset val="186"/>
    </font>
    <font>
      <sz val="11"/>
      <color indexed="8"/>
      <name val="Times New Roman"/>
      <family val="1"/>
      <charset val="1"/>
    </font>
    <font>
      <b/>
      <sz val="11"/>
      <color indexed="8"/>
      <name val="Times New Roman"/>
      <family val="1"/>
      <charset val="1"/>
    </font>
    <font>
      <sz val="11"/>
      <color indexed="8"/>
      <name val="Times New Roman"/>
      <family val="1"/>
      <charset val="186"/>
    </font>
    <font>
      <sz val="11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b/>
      <sz val="11"/>
      <name val="Times New Roman"/>
      <family val="1"/>
      <charset val="186"/>
    </font>
    <font>
      <sz val="11"/>
      <color indexed="8"/>
      <name val="Calibri"/>
      <family val="2"/>
      <charset val="186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name val="Arial"/>
      <family val="2"/>
    </font>
    <font>
      <sz val="10"/>
      <color rgb="FFFFFFFF"/>
      <name val="Liberation Sans"/>
      <charset val="186"/>
    </font>
    <font>
      <b/>
      <sz val="10"/>
      <color rgb="FF000000"/>
      <name val="Liberation Sans"/>
      <charset val="186"/>
    </font>
    <font>
      <sz val="10"/>
      <color rgb="FFCC0000"/>
      <name val="Liberation Sans"/>
      <charset val="186"/>
    </font>
    <font>
      <b/>
      <sz val="10"/>
      <color rgb="FFFFFFFF"/>
      <name val="Liberation Sans"/>
      <charset val="186"/>
    </font>
    <font>
      <i/>
      <sz val="10"/>
      <color rgb="FF808080"/>
      <name val="Liberation Sans"/>
      <charset val="186"/>
    </font>
    <font>
      <sz val="10"/>
      <color rgb="FF006600"/>
      <name val="Liberation Sans"/>
      <charset val="186"/>
    </font>
    <font>
      <b/>
      <sz val="24"/>
      <color rgb="FF000000"/>
      <name val="Liberation Sans"/>
      <charset val="186"/>
    </font>
    <font>
      <sz val="18"/>
      <color rgb="FF000000"/>
      <name val="Liberation Sans"/>
      <charset val="186"/>
    </font>
    <font>
      <sz val="12"/>
      <color rgb="FF000000"/>
      <name val="Liberation Sans"/>
      <charset val="186"/>
    </font>
    <font>
      <u/>
      <sz val="11"/>
      <color theme="10"/>
      <name val="Calibri"/>
      <family val="2"/>
      <charset val="186"/>
    </font>
    <font>
      <u/>
      <sz val="10"/>
      <color rgb="FF0000EE"/>
      <name val="Liberation Sans"/>
      <charset val="186"/>
    </font>
    <font>
      <sz val="10"/>
      <color rgb="FF996600"/>
      <name val="Liberation Sans"/>
      <charset val="186"/>
    </font>
    <font>
      <sz val="11"/>
      <color theme="1"/>
      <name val="Liberation Sans"/>
      <charset val="186"/>
    </font>
    <font>
      <sz val="10"/>
      <color rgb="FF333333"/>
      <name val="Liberation Sans"/>
      <charset val="186"/>
    </font>
    <font>
      <b/>
      <i/>
      <u/>
      <sz val="10"/>
      <color rgb="FF000000"/>
      <name val="Liberation Sans"/>
      <charset val="186"/>
    </font>
    <font>
      <sz val="11"/>
      <color rgb="FF000000"/>
      <name val="Times New Roman"/>
      <family val="1"/>
    </font>
    <font>
      <sz val="11"/>
      <color rgb="FF000000"/>
      <name val="Times New Roman"/>
      <family val="1"/>
      <charset val="186"/>
    </font>
    <font>
      <b/>
      <sz val="12"/>
      <color indexed="8"/>
      <name val="Times New Roman"/>
      <family val="1"/>
      <charset val="1"/>
    </font>
    <font>
      <b/>
      <sz val="10"/>
      <color rgb="FF000000"/>
      <name val="Liberation Sans"/>
      <charset val="2"/>
    </font>
    <font>
      <sz val="10"/>
      <color rgb="FF000000"/>
      <name val="Liberation Sans"/>
      <charset val="2"/>
    </font>
  </fonts>
  <fills count="2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4"/>
      </patternFill>
    </fill>
    <fill>
      <patternFill patternType="solid">
        <fgColor indexed="41"/>
        <b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55"/>
      </patternFill>
    </fill>
    <fill>
      <patternFill patternType="solid">
        <fgColor indexed="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indexed="9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</borders>
  <cellStyleXfs count="38">
    <xf numFmtId="0" fontId="0" fillId="0" borderId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23" fillId="11" borderId="0"/>
    <xf numFmtId="0" fontId="12" fillId="3" borderId="0" applyNumberFormat="0" applyBorder="0" applyAlignment="0" applyProtection="0"/>
    <xf numFmtId="0" fontId="23" fillId="12" borderId="0"/>
    <xf numFmtId="0" fontId="11" fillId="4" borderId="0" applyNumberFormat="0" applyBorder="0" applyAlignment="0" applyProtection="0"/>
    <xf numFmtId="0" fontId="24" fillId="13" borderId="0"/>
    <xf numFmtId="0" fontId="24" fillId="0" borderId="0"/>
    <xf numFmtId="0" fontId="9" fillId="5" borderId="0" applyNumberFormat="0" applyBorder="0" applyAlignment="0" applyProtection="0"/>
    <xf numFmtId="0" fontId="25" fillId="14" borderId="0"/>
    <xf numFmtId="43" fontId="1" fillId="0" borderId="0" applyFill="0" applyBorder="0" applyAlignment="0" applyProtection="0"/>
    <xf numFmtId="0" fontId="10" fillId="6" borderId="0" applyNumberFormat="0" applyBorder="0" applyAlignment="0" applyProtection="0"/>
    <xf numFmtId="0" fontId="26" fillId="15" borderId="0"/>
    <xf numFmtId="0" fontId="6" fillId="0" borderId="0" applyNumberFormat="0" applyFill="0" applyBorder="0" applyAlignment="0" applyProtection="0"/>
    <xf numFmtId="0" fontId="27" fillId="0" borderId="0"/>
    <xf numFmtId="0" fontId="7" fillId="7" borderId="0" applyNumberFormat="0" applyBorder="0" applyAlignment="0" applyProtection="0"/>
    <xf numFmtId="0" fontId="28" fillId="16" borderId="0"/>
    <xf numFmtId="0" fontId="2" fillId="0" borderId="0" applyNumberFormat="0" applyFill="0" applyBorder="0" applyAlignment="0" applyProtection="0"/>
    <xf numFmtId="0" fontId="29" fillId="0" borderId="0"/>
    <xf numFmtId="0" fontId="3" fillId="0" borderId="0" applyNumberFormat="0" applyFill="0" applyBorder="0" applyAlignment="0" applyProtection="0"/>
    <xf numFmtId="0" fontId="30" fillId="0" borderId="0"/>
    <xf numFmtId="0" fontId="4" fillId="0" borderId="0" applyNumberFormat="0" applyFill="0" applyBorder="0" applyAlignment="0" applyProtection="0"/>
    <xf numFmtId="0" fontId="31" fillId="0" borderId="0"/>
    <xf numFmtId="0" fontId="32" fillId="0" borderId="0" applyNumberFormat="0" applyFill="0" applyBorder="0" applyAlignment="0" applyProtection="0"/>
    <xf numFmtId="0" fontId="33" fillId="0" borderId="0"/>
    <xf numFmtId="0" fontId="8" fillId="8" borderId="0" applyNumberFormat="0" applyBorder="0" applyAlignment="0" applyProtection="0"/>
    <xf numFmtId="0" fontId="34" fillId="17" borderId="0"/>
    <xf numFmtId="0" fontId="35" fillId="0" borderId="0"/>
    <xf numFmtId="0" fontId="5" fillId="8" borderId="1" applyNumberFormat="0" applyAlignment="0" applyProtection="0"/>
    <xf numFmtId="0" fontId="36" fillId="17" borderId="11"/>
    <xf numFmtId="0" fontId="37" fillId="0" borderId="0"/>
    <xf numFmtId="0" fontId="19" fillId="0" borderId="0" applyNumberFormat="0" applyFill="0" applyBorder="0" applyAlignment="0" applyProtection="0"/>
    <xf numFmtId="0" fontId="35" fillId="0" borderId="0"/>
    <xf numFmtId="0" fontId="19" fillId="0" borderId="0" applyNumberFormat="0" applyFill="0" applyBorder="0" applyAlignment="0" applyProtection="0"/>
    <xf numFmtId="0" fontId="35" fillId="0" borderId="0"/>
    <xf numFmtId="0" fontId="9" fillId="0" borderId="0" applyNumberFormat="0" applyFill="0" applyBorder="0" applyAlignment="0" applyProtection="0"/>
    <xf numFmtId="0" fontId="25" fillId="0" borderId="0"/>
  </cellStyleXfs>
  <cellXfs count="73">
    <xf numFmtId="0" fontId="0" fillId="0" borderId="0" xfId="0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9" borderId="2" xfId="0" applyFont="1" applyFill="1" applyBorder="1" applyAlignment="1">
      <alignment horizontal="center" wrapText="1"/>
    </xf>
    <xf numFmtId="0" fontId="16" fillId="9" borderId="2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3" fillId="0" borderId="3" xfId="0" applyFont="1" applyBorder="1" applyAlignment="1">
      <alignment wrapText="1"/>
    </xf>
    <xf numFmtId="0" fontId="20" fillId="0" borderId="3" xfId="0" applyFont="1" applyBorder="1" applyAlignment="1">
      <alignment textRotation="90" wrapText="1"/>
    </xf>
    <xf numFmtId="2" fontId="13" fillId="0" borderId="3" xfId="0" applyNumberFormat="1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4" xfId="0" applyFont="1" applyBorder="1" applyAlignment="1">
      <alignment textRotation="90" wrapText="1"/>
    </xf>
    <xf numFmtId="0" fontId="15" fillId="0" borderId="3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wrapText="1"/>
    </xf>
    <xf numFmtId="2" fontId="15" fillId="0" borderId="3" xfId="0" applyNumberFormat="1" applyFont="1" applyBorder="1" applyAlignment="1">
      <alignment wrapText="1"/>
    </xf>
    <xf numFmtId="2" fontId="15" fillId="0" borderId="5" xfId="0" applyNumberFormat="1" applyFont="1" applyBorder="1" applyAlignment="1">
      <alignment wrapText="1"/>
    </xf>
    <xf numFmtId="0" fontId="17" fillId="18" borderId="6" xfId="0" applyFont="1" applyFill="1" applyBorder="1" applyAlignment="1">
      <alignment wrapText="1"/>
    </xf>
    <xf numFmtId="0" fontId="17" fillId="18" borderId="6" xfId="0" applyFont="1" applyFill="1" applyBorder="1" applyAlignment="1">
      <alignment horizontal="center" wrapText="1"/>
    </xf>
    <xf numFmtId="0" fontId="15" fillId="19" borderId="3" xfId="0" applyFont="1" applyFill="1" applyBorder="1" applyAlignment="1">
      <alignment wrapText="1"/>
    </xf>
    <xf numFmtId="0" fontId="15" fillId="19" borderId="3" xfId="0" applyFont="1" applyFill="1" applyBorder="1" applyAlignment="1">
      <alignment horizontal="center" wrapText="1"/>
    </xf>
    <xf numFmtId="0" fontId="16" fillId="19" borderId="3" xfId="0" applyFont="1" applyFill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horizontal="center" vertical="top" wrapText="1"/>
    </xf>
    <xf numFmtId="0" fontId="32" fillId="0" borderId="0" xfId="24"/>
    <xf numFmtId="164" fontId="15" fillId="0" borderId="3" xfId="0" applyNumberFormat="1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19" borderId="0" xfId="0" applyFont="1" applyFill="1" applyAlignment="1">
      <alignment horizontal="center" wrapText="1"/>
    </xf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20" fillId="0" borderId="3" xfId="0" applyFont="1" applyBorder="1" applyAlignment="1">
      <alignment wrapText="1"/>
    </xf>
    <xf numFmtId="0" fontId="32" fillId="0" borderId="0" xfId="24" applyAlignment="1"/>
    <xf numFmtId="0" fontId="16" fillId="10" borderId="0" xfId="0" applyFont="1" applyFill="1" applyAlignment="1">
      <alignment wrapText="1"/>
    </xf>
    <xf numFmtId="14" fontId="16" fillId="10" borderId="0" xfId="0" quotePrefix="1" applyNumberFormat="1" applyFont="1" applyFill="1"/>
    <xf numFmtId="14" fontId="16" fillId="10" borderId="0" xfId="0" applyNumberFormat="1" applyFont="1" applyFill="1"/>
    <xf numFmtId="0" fontId="16" fillId="10" borderId="0" xfId="0" applyFont="1" applyFill="1"/>
    <xf numFmtId="14" fontId="16" fillId="10" borderId="0" xfId="0" quotePrefix="1" applyNumberFormat="1" applyFont="1" applyFill="1" applyAlignment="1">
      <alignment horizontal="right"/>
    </xf>
    <xf numFmtId="14" fontId="22" fillId="0" borderId="0" xfId="11" applyNumberFormat="1" applyFont="1" applyFill="1" applyAlignment="1">
      <alignment horizontal="left" wrapText="1"/>
    </xf>
    <xf numFmtId="14" fontId="15" fillId="0" borderId="0" xfId="0" applyNumberFormat="1" applyFont="1" applyAlignment="1">
      <alignment wrapText="1"/>
    </xf>
    <xf numFmtId="0" fontId="17" fillId="18" borderId="9" xfId="0" applyFont="1" applyFill="1" applyBorder="1" applyAlignment="1">
      <alignment horizontal="right" wrapText="1"/>
    </xf>
    <xf numFmtId="0" fontId="15" fillId="9" borderId="10" xfId="0" applyFont="1" applyFill="1" applyBorder="1" applyAlignment="1">
      <alignment horizontal="center" wrapText="1"/>
    </xf>
    <xf numFmtId="1" fontId="17" fillId="18" borderId="3" xfId="0" applyNumberFormat="1" applyFont="1" applyFill="1" applyBorder="1" applyAlignment="1">
      <alignment horizontal="center" wrapText="1"/>
    </xf>
    <xf numFmtId="0" fontId="38" fillId="0" borderId="0" xfId="0" applyFont="1" applyAlignment="1">
      <alignment horizontal="justify"/>
    </xf>
    <xf numFmtId="0" fontId="38" fillId="19" borderId="12" xfId="0" applyFont="1" applyFill="1" applyBorder="1" applyAlignment="1">
      <alignment horizontal="center" wrapText="1"/>
    </xf>
    <xf numFmtId="0" fontId="15" fillId="19" borderId="2" xfId="0" applyFont="1" applyFill="1" applyBorder="1" applyAlignment="1">
      <alignment horizontal="center" wrapText="1"/>
    </xf>
    <xf numFmtId="0" fontId="16" fillId="19" borderId="2" xfId="0" applyFont="1" applyFill="1" applyBorder="1" applyAlignment="1">
      <alignment horizontal="center" wrapText="1"/>
    </xf>
    <xf numFmtId="2" fontId="15" fillId="19" borderId="3" xfId="0" applyNumberFormat="1" applyFont="1" applyFill="1" applyBorder="1" applyAlignment="1">
      <alignment wrapText="1"/>
    </xf>
    <xf numFmtId="0" fontId="15" fillId="19" borderId="0" xfId="0" applyFont="1" applyFill="1" applyAlignment="1">
      <alignment wrapText="1"/>
    </xf>
    <xf numFmtId="0" fontId="16" fillId="19" borderId="0" xfId="0" applyFont="1" applyFill="1"/>
    <xf numFmtId="14" fontId="16" fillId="19" borderId="0" xfId="0" applyNumberFormat="1" applyFont="1" applyFill="1"/>
    <xf numFmtId="164" fontId="21" fillId="0" borderId="3" xfId="0" applyNumberFormat="1" applyFont="1" applyBorder="1"/>
    <xf numFmtId="0" fontId="20" fillId="0" borderId="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wrapText="1"/>
    </xf>
    <xf numFmtId="0" fontId="20" fillId="0" borderId="15" xfId="0" applyFont="1" applyBorder="1" applyAlignment="1">
      <alignment textRotation="90" wrapText="1"/>
    </xf>
    <xf numFmtId="0" fontId="20" fillId="0" borderId="16" xfId="0" applyFont="1" applyBorder="1" applyAlignment="1">
      <alignment textRotation="90" wrapText="1"/>
    </xf>
    <xf numFmtId="0" fontId="38" fillId="0" borderId="12" xfId="0" applyFont="1" applyBorder="1" applyAlignment="1">
      <alignment wrapText="1"/>
    </xf>
    <xf numFmtId="0" fontId="38" fillId="0" borderId="12" xfId="0" applyFont="1" applyBorder="1" applyAlignment="1">
      <alignment horizontal="justify" wrapText="1"/>
    </xf>
    <xf numFmtId="0" fontId="38" fillId="0" borderId="12" xfId="0" applyFont="1" applyBorder="1" applyAlignment="1">
      <alignment horizontal="left" wrapText="1"/>
    </xf>
    <xf numFmtId="0" fontId="38" fillId="0" borderId="12" xfId="0" applyFont="1" applyBorder="1" applyAlignment="1">
      <alignment vertical="top" wrapText="1"/>
    </xf>
    <xf numFmtId="0" fontId="38" fillId="0" borderId="12" xfId="0" applyFont="1" applyBorder="1" applyAlignment="1">
      <alignment horizontal="left" vertical="top" wrapText="1"/>
    </xf>
    <xf numFmtId="0" fontId="15" fillId="21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39" fillId="19" borderId="12" xfId="0" applyFont="1" applyFill="1" applyBorder="1" applyAlignment="1">
      <alignment horizontal="center" vertical="center" wrapText="1"/>
    </xf>
    <xf numFmtId="0" fontId="39" fillId="13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38" fillId="20" borderId="12" xfId="0" applyFont="1" applyFill="1" applyBorder="1" applyAlignment="1">
      <alignment horizontal="center" vertical="center" wrapText="1"/>
    </xf>
  </cellXfs>
  <cellStyles count="38">
    <cellStyle name="Accent" xfId="1" xr:uid="{D62497AF-8338-4CF3-AF2A-00439A9AAA11}"/>
    <cellStyle name="Accent 1" xfId="2" xr:uid="{8F63EDDE-153F-43DE-B1CF-C684B1CB51FA}"/>
    <cellStyle name="Accent 1 2" xfId="3" xr:uid="{0FEF4CB5-8D90-420C-928F-75E757160850}"/>
    <cellStyle name="Accent 2" xfId="4" xr:uid="{8F010AE1-7582-44FB-AAED-492F94DE3CD8}"/>
    <cellStyle name="Accent 2 2" xfId="5" xr:uid="{58BD6165-E8EF-4843-9C59-397EB50C8D95}"/>
    <cellStyle name="Accent 3" xfId="6" xr:uid="{A0175601-62D6-4725-9167-AC44184A770C}"/>
    <cellStyle name="Accent 3 2" xfId="7" xr:uid="{1C0DE7DC-4921-40A1-891E-4047B252E820}"/>
    <cellStyle name="Accent 4" xfId="8" xr:uid="{133A7308-B8F6-4498-AC44-6E7C28FD9E75}"/>
    <cellStyle name="Bad" xfId="9" builtinId="27" customBuiltin="1"/>
    <cellStyle name="Bad 2" xfId="10" xr:uid="{4A2A90D0-5356-4D55-B356-9E1C46D9E709}"/>
    <cellStyle name="Comma" xfId="11" builtinId="3"/>
    <cellStyle name="Error" xfId="12" xr:uid="{C061F941-F24A-4B19-BD74-C9C464C18203}"/>
    <cellStyle name="Error 2" xfId="13" xr:uid="{735A5A58-5EFD-4A62-BBF0-C2F85E54E8CF}"/>
    <cellStyle name="Footnote" xfId="14" xr:uid="{A4759041-486B-4055-AD49-B15CD88742F8}"/>
    <cellStyle name="Footnote 2" xfId="15" xr:uid="{0AD4F904-AB53-4219-A1C0-DCB59EF509C1}"/>
    <cellStyle name="Good" xfId="16" builtinId="26" customBuiltin="1"/>
    <cellStyle name="Good 2" xfId="17" xr:uid="{7D6BE1A7-607B-42ED-A6D3-F7838C36F6DD}"/>
    <cellStyle name="Heading" xfId="18" xr:uid="{09C857B4-11DD-4810-B824-362AA313B3C1}"/>
    <cellStyle name="Heading (user)" xfId="19" xr:uid="{1A914182-53DE-48C6-A5B7-2F0CF74983B9}"/>
    <cellStyle name="Heading 1" xfId="20" builtinId="16" customBuiltin="1"/>
    <cellStyle name="Heading 1 2" xfId="21" xr:uid="{AF9817FB-6732-4A87-BAED-CFC50642F4BE}"/>
    <cellStyle name="Heading 2" xfId="22" builtinId="17" customBuiltin="1"/>
    <cellStyle name="Heading 2 2" xfId="23" xr:uid="{D48BEEA3-7BAB-46B9-B1B1-8CFA72D4B915}"/>
    <cellStyle name="Hyperlink" xfId="24" builtinId="8"/>
    <cellStyle name="Hyperlink 2" xfId="25" xr:uid="{DFC6A549-6979-4071-9CC4-9AD35024EBF1}"/>
    <cellStyle name="Neutral" xfId="26" builtinId="28" customBuiltin="1"/>
    <cellStyle name="Neutral 2" xfId="27" xr:uid="{A8968E55-5030-4C8D-8A46-CDE1778E5CE7}"/>
    <cellStyle name="Normal" xfId="0" builtinId="0"/>
    <cellStyle name="Normal 2" xfId="28" xr:uid="{382630E6-F561-4016-8305-2D2A52A3C006}"/>
    <cellStyle name="Note" xfId="29" builtinId="10" customBuiltin="1"/>
    <cellStyle name="Note 2" xfId="30" xr:uid="{4327463F-CF7A-4F7A-93A7-07D7E40CF19D}"/>
    <cellStyle name="Result (user)" xfId="31" xr:uid="{8B6CE6C0-322E-43CD-9579-CF54435CFDE2}"/>
    <cellStyle name="Status" xfId="32" xr:uid="{BF2392DA-08DE-4A06-867F-9C3647BEE0C4}"/>
    <cellStyle name="Status 2" xfId="33" xr:uid="{979F76D6-F0FE-4E08-865F-20E574E9D039}"/>
    <cellStyle name="Text" xfId="34" xr:uid="{B25712F0-4A49-4F80-9183-D53395EAFEE0}"/>
    <cellStyle name="Text 2" xfId="35" xr:uid="{231D9085-72C6-4531-890B-560B437A4657}"/>
    <cellStyle name="Warning" xfId="36" xr:uid="{A63CD185-ABDC-4BCF-8456-8643544F3FEF}"/>
    <cellStyle name="Warning 2" xfId="37" xr:uid="{1DDD8B85-3A14-4F81-BB4F-4B8109E12C0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66"/>
      <rgbColor rgb="0000FFFF"/>
      <rgbColor rgb="00800000"/>
      <rgbColor rgb="00006600"/>
      <rgbColor rgb="00000080"/>
      <rgbColor rgb="00996600"/>
      <rgbColor rgb="00800080"/>
      <rgbColor rgb="00008080"/>
      <rgbColor rgb="00BFBFBF"/>
      <rgbColor rgb="00808080"/>
      <rgbColor rgb="009999FF"/>
      <rgbColor rgb="00993366"/>
      <rgbColor rgb="00FFFFCC"/>
      <rgbColor rgb="00EEEEEE"/>
      <rgbColor rgb="00660066"/>
      <rgbColor rgb="00FF8080"/>
      <rgbColor rgb="000066CC"/>
      <rgbColor rgb="00CDCDC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CC"/>
      <rgbColor rgb="003333FF"/>
      <rgbColor rgb="0033CCCC"/>
      <rgbColor rgb="0099CC00"/>
      <rgbColor rgb="00FFCC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993300"/>
      <rgbColor rgb="00993366"/>
      <rgbColor rgb="0025406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50</xdr:row>
      <xdr:rowOff>121920</xdr:rowOff>
    </xdr:from>
    <xdr:to>
      <xdr:col>3</xdr:col>
      <xdr:colOff>269240</xdr:colOff>
      <xdr:row>52</xdr:row>
      <xdr:rowOff>148590</xdr:rowOff>
    </xdr:to>
    <xdr:pic>
      <xdr:nvPicPr>
        <xdr:cNvPr id="33798" name="Picture 2">
          <a:extLst>
            <a:ext uri="{FF2B5EF4-FFF2-40B4-BE49-F238E27FC236}">
              <a16:creationId xmlns:a16="http://schemas.microsoft.com/office/drawing/2014/main" id="{2626645F-344E-E52E-C867-AEFA93661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580" y="16139160"/>
          <a:ext cx="113538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lia.jasiuliene@policija.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5CA9-DBDD-450A-BE25-E7963E8E74EA}">
  <dimension ref="A1:AH54"/>
  <sheetViews>
    <sheetView tabSelected="1" view="pageBreakPreview" topLeftCell="A5" zoomScale="90" zoomScaleNormal="100" zoomScaleSheetLayoutView="90" workbookViewId="0">
      <selection activeCell="Y36" sqref="Y36"/>
    </sheetView>
  </sheetViews>
  <sheetFormatPr defaultColWidth="8.453125" defaultRowHeight="14"/>
  <cols>
    <col min="1" max="1" width="31.08984375" style="5" customWidth="1"/>
    <col min="2" max="2" width="7.6328125" style="5" customWidth="1"/>
    <col min="3" max="3" width="5" style="5" customWidth="1"/>
    <col min="4" max="4" width="5.08984375" style="5" customWidth="1"/>
    <col min="5" max="5" width="4.90625" style="5" customWidth="1"/>
    <col min="6" max="6" width="3.90625" style="5" customWidth="1"/>
    <col min="7" max="7" width="5.08984375" style="5" customWidth="1"/>
    <col min="8" max="8" width="6.08984375" style="5" customWidth="1"/>
    <col min="9" max="9" width="6.36328125" style="5" customWidth="1"/>
    <col min="10" max="10" width="7.54296875" style="5" customWidth="1"/>
    <col min="11" max="11" width="9.453125" style="5" customWidth="1"/>
    <col min="12" max="12" width="8.984375E-2" style="5" customWidth="1"/>
    <col min="13" max="22" width="6.90625" style="5" hidden="1" customWidth="1"/>
    <col min="23" max="25" width="6.90625" style="5" customWidth="1"/>
    <col min="26" max="26" width="2.54296875" style="5" customWidth="1"/>
    <col min="27" max="27" width="14.36328125" style="5" customWidth="1"/>
    <col min="28" max="28" width="12.453125" style="5" customWidth="1"/>
    <col min="29" max="29" width="11.6328125" style="5" customWidth="1"/>
    <col min="30" max="30" width="11.54296875" style="5" customWidth="1"/>
    <col min="31" max="32" width="6.90625" style="5" customWidth="1"/>
    <col min="33" max="208" width="8.54296875" style="5" customWidth="1"/>
    <col min="209" max="16384" width="8.453125" style="5"/>
  </cols>
  <sheetData>
    <row r="1" spans="1:31">
      <c r="A1" s="13" t="s">
        <v>44</v>
      </c>
    </row>
    <row r="2" spans="1:31" ht="28">
      <c r="A2" s="13" t="s">
        <v>45</v>
      </c>
    </row>
    <row r="3" spans="1:31" ht="36" customHeight="1">
      <c r="A3" s="4" t="s">
        <v>23</v>
      </c>
      <c r="U3" s="28"/>
      <c r="W3" s="35" t="s">
        <v>54</v>
      </c>
    </row>
    <row r="4" spans="1:31" ht="15.75" customHeight="1">
      <c r="A4" s="4" t="s">
        <v>24</v>
      </c>
    </row>
    <row r="5" spans="1:31" ht="15.75" customHeight="1">
      <c r="A5" s="4"/>
      <c r="C5" s="66" t="s">
        <v>40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31" ht="33" customHeight="1">
      <c r="A6" s="41">
        <v>46053</v>
      </c>
    </row>
    <row r="7" spans="1:31" ht="20.149999999999999" customHeight="1">
      <c r="A7" s="34" t="s">
        <v>43</v>
      </c>
      <c r="B7" s="56"/>
      <c r="C7" s="71" t="s">
        <v>58</v>
      </c>
      <c r="D7" s="71"/>
      <c r="E7" s="71"/>
      <c r="F7" s="71"/>
      <c r="G7" s="71"/>
      <c r="H7" s="57"/>
      <c r="I7" s="57"/>
      <c r="J7" s="57"/>
      <c r="K7" s="57"/>
    </row>
    <row r="8" spans="1:31" ht="85.5" customHeight="1">
      <c r="A8" s="34" t="s">
        <v>0</v>
      </c>
      <c r="B8" s="55" t="s">
        <v>52</v>
      </c>
      <c r="C8" s="58" t="s">
        <v>1</v>
      </c>
      <c r="D8" s="59" t="s">
        <v>2</v>
      </c>
      <c r="E8" s="59" t="s">
        <v>3</v>
      </c>
      <c r="F8" s="59" t="s">
        <v>4</v>
      </c>
      <c r="G8" s="59" t="s">
        <v>5</v>
      </c>
      <c r="H8" s="14" t="s">
        <v>33</v>
      </c>
      <c r="I8" s="11" t="s">
        <v>60</v>
      </c>
      <c r="J8" s="11" t="s">
        <v>34</v>
      </c>
      <c r="K8" s="11" t="s">
        <v>36</v>
      </c>
    </row>
    <row r="9" spans="1:31" ht="15.75" customHeight="1">
      <c r="A9" s="21" t="s">
        <v>6</v>
      </c>
      <c r="B9" s="22"/>
      <c r="C9" s="6"/>
      <c r="D9" s="6"/>
      <c r="E9" s="6"/>
      <c r="F9" s="6"/>
      <c r="G9" s="6"/>
      <c r="K9" s="18"/>
      <c r="AA9" s="39" t="s">
        <v>55</v>
      </c>
      <c r="AB9" s="37">
        <v>46023</v>
      </c>
      <c r="AC9" s="38">
        <f>DATE(YEAR(A6), MONTH(A6), 1)</f>
        <v>46023</v>
      </c>
      <c r="AD9" s="38">
        <f>EOMONTH(A6, 0)</f>
        <v>46053</v>
      </c>
      <c r="AE9" s="39">
        <f>NETWORKDAYS(AC9, AD9, AB9:AB21)</f>
        <v>21</v>
      </c>
    </row>
    <row r="10" spans="1:31" ht="21.65" customHeight="1">
      <c r="A10" s="60" t="s">
        <v>7</v>
      </c>
      <c r="B10" s="24">
        <v>100</v>
      </c>
      <c r="C10" s="47" t="s">
        <v>8</v>
      </c>
      <c r="D10" s="47"/>
      <c r="E10" s="47"/>
      <c r="F10" s="47"/>
      <c r="G10" s="47"/>
      <c r="H10" s="23" t="s">
        <v>47</v>
      </c>
      <c r="I10" s="29">
        <v>8.5000000000000006E-2</v>
      </c>
      <c r="J10" s="15">
        <f t="array" aca="1" ref="J10" ca="1">SUMPRODUCT(--(WEEKDAY(DATE(YEAR(AC9), MONTH(AC9), ROW(INDIRECT("1:"&amp;DAY(EOMONTH(AC9, 0))))))=2), --(ISNA(MATCH(DATE(YEAR(AC9), MONTH(AC9), ROW(INDIRECT("1:"&amp;DAY(EOMONTH(AC9, 0))))), AB9:AB21, 0))))</f>
        <v>4</v>
      </c>
      <c r="K10" s="19">
        <f ca="1">ROUND(+J10*I10*B10,2)</f>
        <v>34</v>
      </c>
      <c r="AA10" s="36"/>
      <c r="AB10" s="37">
        <v>46069</v>
      </c>
      <c r="AC10" s="39"/>
      <c r="AD10" s="39"/>
      <c r="AE10" s="39"/>
    </row>
    <row r="11" spans="1:31" ht="15.75" customHeight="1">
      <c r="A11" s="60" t="s">
        <v>25</v>
      </c>
      <c r="B11" s="25">
        <v>16</v>
      </c>
      <c r="C11" s="47"/>
      <c r="D11" s="47"/>
      <c r="E11" s="47"/>
      <c r="F11" s="47" t="s">
        <v>8</v>
      </c>
      <c r="G11" s="47"/>
      <c r="H11" s="23" t="s">
        <v>47</v>
      </c>
      <c r="I11" s="29">
        <v>8.5000000000000006E-2</v>
      </c>
      <c r="J11" s="15">
        <f t="array" aca="1" ref="J11" ca="1">SUMPRODUCT(--(WEEKDAY(DATE(YEAR(AC9), MONTH(AC9), ROW(INDIRECT("1:"&amp;DAY(EOMONTH(AC9, 0))))))=5), --(ISNA(MATCH(DATE(YEAR(AC9), MONTH(AC9), ROW(INDIRECT("1:"&amp;DAY(EOMONTH(AC9, 0))))), AB9:AB21, 0))))</f>
        <v>4</v>
      </c>
      <c r="K11" s="19">
        <f t="shared" ref="K11:K16" ca="1" si="0">ROUND(+J11*I11*B11,2)</f>
        <v>5.44</v>
      </c>
      <c r="AA11" s="36"/>
      <c r="AB11" s="40" t="s">
        <v>59</v>
      </c>
      <c r="AC11" s="39"/>
      <c r="AD11" s="39"/>
      <c r="AE11" s="39"/>
    </row>
    <row r="12" spans="1:31" ht="15.75" customHeight="1">
      <c r="A12" s="60" t="s">
        <v>26</v>
      </c>
      <c r="B12" s="24">
        <f>17.85+4.99</f>
        <v>22.840000000000003</v>
      </c>
      <c r="C12" s="47" t="s">
        <v>8</v>
      </c>
      <c r="D12" s="47"/>
      <c r="E12" s="47" t="s">
        <v>8</v>
      </c>
      <c r="F12" s="47"/>
      <c r="G12" s="47" t="s">
        <v>8</v>
      </c>
      <c r="H12" s="23" t="s">
        <v>47</v>
      </c>
      <c r="I12" s="29">
        <v>8.5000000000000006E-2</v>
      </c>
      <c r="J12" s="15">
        <f t="array" aca="1" ref="J12" ca="1">SUMPRODUCT(
  --(ISNUMBER(MATCH(WEEKDAY(ROW(INDIRECT(AC9&amp;":"&amp;EOMONTH(AC9,0))), 2), {1;3;5}, 0))),
  --ISNA(MATCH(ROW(INDIRECT(AC9&amp;":"&amp;EOMONTH(AC9,0))), AB$9:AB$21, 0))
)</f>
        <v>13</v>
      </c>
      <c r="K12" s="19">
        <f t="shared" ca="1" si="0"/>
        <v>25.24</v>
      </c>
      <c r="AA12" s="36"/>
      <c r="AB12" s="37">
        <v>46118</v>
      </c>
      <c r="AC12" s="39"/>
      <c r="AD12" s="39"/>
      <c r="AE12" s="39"/>
    </row>
    <row r="13" spans="1:31" ht="15.75" customHeight="1">
      <c r="A13" s="60" t="s">
        <v>61</v>
      </c>
      <c r="B13" s="24">
        <f>3.77+6.59+4.22</f>
        <v>14.579999999999998</v>
      </c>
      <c r="C13" s="47" t="s">
        <v>8</v>
      </c>
      <c r="D13" s="47"/>
      <c r="E13" s="47" t="s">
        <v>8</v>
      </c>
      <c r="F13" s="47"/>
      <c r="G13" s="47" t="s">
        <v>8</v>
      </c>
      <c r="H13" s="23" t="s">
        <v>47</v>
      </c>
      <c r="I13" s="29">
        <v>8.5000000000000006E-2</v>
      </c>
      <c r="J13" s="15">
        <f t="array" aca="1" ref="J13" ca="1">SUMPRODUCT(
  --(ISNUMBER(MATCH(WEEKDAY(ROW(INDIRECT(AC9&amp;":"&amp;EOMONTH(AC9,0))), 2), {1;3;5}, 0))),
  --ISNA(MATCH(ROW(INDIRECT(AC9&amp;":"&amp;EOMONTH(AC9,0))), AB$9:AB$21, 0))
)</f>
        <v>13</v>
      </c>
      <c r="K13" s="19">
        <f t="shared" ca="1" si="0"/>
        <v>16.11</v>
      </c>
      <c r="AA13" s="39"/>
      <c r="AB13" s="38">
        <v>46143</v>
      </c>
      <c r="AC13" s="39"/>
      <c r="AD13" s="39"/>
      <c r="AE13" s="39"/>
    </row>
    <row r="14" spans="1:31" s="51" customFormat="1" ht="25.5" customHeight="1">
      <c r="A14" s="60" t="s">
        <v>62</v>
      </c>
      <c r="B14" s="24">
        <v>119</v>
      </c>
      <c r="C14" s="47" t="s">
        <v>8</v>
      </c>
      <c r="D14" s="47"/>
      <c r="E14" s="47" t="s">
        <v>8</v>
      </c>
      <c r="F14" s="47"/>
      <c r="G14" s="47" t="s">
        <v>8</v>
      </c>
      <c r="H14" s="23" t="s">
        <v>47</v>
      </c>
      <c r="I14" s="29">
        <v>8.5000000000000006E-2</v>
      </c>
      <c r="J14" s="23">
        <f t="array" aca="1" ref="J14" ca="1">SUMPRODUCT(
  --(ISNUMBER(MATCH(WEEKDAY(ROW(INDIRECT(AC9&amp;":"&amp;EOMONTH(AC9,0))), 2), {1;3;5}, 0))),
  --ISNA(MATCH(ROW(INDIRECT(AC9&amp;":"&amp;EOMONTH(AC9,0))), AB$9:AB$21, 0))
)</f>
        <v>13</v>
      </c>
      <c r="K14" s="50">
        <f t="shared" ca="1" si="0"/>
        <v>131.5</v>
      </c>
      <c r="AA14" s="52"/>
      <c r="AB14" s="53">
        <v>46197</v>
      </c>
      <c r="AC14" s="52"/>
      <c r="AD14" s="52"/>
      <c r="AE14" s="52"/>
    </row>
    <row r="15" spans="1:31" ht="15.75" customHeight="1">
      <c r="A15" s="60" t="s">
        <v>63</v>
      </c>
      <c r="B15" s="25">
        <f>4.97+4.95+7.63+8.09</f>
        <v>25.64</v>
      </c>
      <c r="C15" s="47"/>
      <c r="D15" s="47"/>
      <c r="E15" s="47" t="s">
        <v>8</v>
      </c>
      <c r="F15" s="47"/>
      <c r="G15" s="47"/>
      <c r="H15" s="23" t="s">
        <v>47</v>
      </c>
      <c r="I15" s="29">
        <v>8.5000000000000006E-2</v>
      </c>
      <c r="J15" s="23">
        <f t="array" aca="1" ref="J15" ca="1">SUMPRODUCT(--(WEEKDAY(ROW(INDIRECT(DATE(YEAR(AC9), MONTH(AC9), 1) &amp; ":" &amp; EOMONTH(AC9, 0)))) = 4) * --(COUNTIF(AB9:AB21, ROW(INDIRECT(DATE(YEAR(AC9), MONTH(AC9), 1) &amp; ":" &amp; EOMONTH(AC9, 0)))) = 0))</f>
        <v>4</v>
      </c>
      <c r="K15" s="19">
        <f t="shared" ca="1" si="0"/>
        <v>8.7200000000000006</v>
      </c>
      <c r="AA15" s="39"/>
      <c r="AB15" s="38">
        <v>46209</v>
      </c>
      <c r="AC15" s="39"/>
      <c r="AD15" s="39"/>
      <c r="AE15" s="39"/>
    </row>
    <row r="16" spans="1:31" ht="15.75" customHeight="1">
      <c r="A16" s="60" t="s">
        <v>27</v>
      </c>
      <c r="B16" s="25">
        <v>6.57</v>
      </c>
      <c r="C16" s="70"/>
      <c r="D16" s="70"/>
      <c r="E16" s="70"/>
      <c r="F16" s="70"/>
      <c r="G16" s="70"/>
      <c r="H16" s="15" t="s">
        <v>47</v>
      </c>
      <c r="I16" s="29">
        <v>8.5000000000000006E-2</v>
      </c>
      <c r="J16" s="15">
        <v>0</v>
      </c>
      <c r="K16" s="19">
        <f t="shared" si="0"/>
        <v>0</v>
      </c>
      <c r="AA16" s="39"/>
      <c r="AB16" s="38">
        <v>46249</v>
      </c>
      <c r="AC16" s="39"/>
      <c r="AD16" s="39"/>
      <c r="AE16" s="39"/>
    </row>
    <row r="17" spans="1:31" ht="15.75" customHeight="1">
      <c r="A17" s="21" t="s">
        <v>9</v>
      </c>
      <c r="B17" s="22"/>
      <c r="C17" s="7"/>
      <c r="D17" s="7"/>
      <c r="E17" s="7"/>
      <c r="F17" s="7"/>
      <c r="G17" s="7"/>
      <c r="K17" s="18"/>
      <c r="AA17" s="39"/>
      <c r="AB17" s="38">
        <v>46327</v>
      </c>
      <c r="AC17" s="39"/>
      <c r="AD17" s="39"/>
      <c r="AE17" s="39"/>
    </row>
    <row r="18" spans="1:31" ht="15.75" customHeight="1">
      <c r="A18" s="60" t="s">
        <v>7</v>
      </c>
      <c r="B18" s="24">
        <v>214</v>
      </c>
      <c r="C18" s="47"/>
      <c r="D18" s="47" t="s">
        <v>8</v>
      </c>
      <c r="E18" s="47"/>
      <c r="F18" s="47"/>
      <c r="G18" s="47"/>
      <c r="H18" s="15" t="s">
        <v>47</v>
      </c>
      <c r="I18" s="29">
        <v>8.5000000000000006E-2</v>
      </c>
      <c r="J18" s="23">
        <f t="array" aca="1" ref="J18" ca="1">SUMPRODUCT(--(WEEKDAY(ROW(INDIRECT(DATE(YEAR(AC9), MONTH(AC9), 1) &amp; ":" &amp; EOMONTH(AC9, 0)))) = 3) * --(COUNTIF(AB9:AB21, ROW(INDIRECT(DATE(YEAR(AC9), MONTH(AC9), 1) &amp; ":" &amp; EOMONTH(AC9, 0)))) = 0))</f>
        <v>4</v>
      </c>
      <c r="K18" s="19">
        <f ca="1">ROUND(+J18*I18*B18,2)</f>
        <v>72.760000000000005</v>
      </c>
      <c r="AA18" s="39"/>
      <c r="AB18" s="38">
        <v>46328</v>
      </c>
      <c r="AC18" s="39"/>
      <c r="AD18" s="39"/>
      <c r="AE18" s="39"/>
    </row>
    <row r="19" spans="1:31" ht="15.75" customHeight="1">
      <c r="A19" s="60" t="s">
        <v>61</v>
      </c>
      <c r="B19" s="24">
        <f>3.66+1.49+1.21+3.47</f>
        <v>9.83</v>
      </c>
      <c r="C19" s="47" t="s">
        <v>8</v>
      </c>
      <c r="D19" s="47"/>
      <c r="E19" s="47" t="s">
        <v>8</v>
      </c>
      <c r="F19" s="47"/>
      <c r="G19" s="47" t="s">
        <v>8</v>
      </c>
      <c r="H19" s="15" t="s">
        <v>47</v>
      </c>
      <c r="I19" s="29">
        <v>8.5000000000000006E-2</v>
      </c>
      <c r="J19" s="15">
        <f t="array" aca="1" ref="J19" ca="1">SUMPRODUCT(
  --(ISNUMBER(MATCH(WEEKDAY(ROW(INDIRECT(AC9&amp;":"&amp;EOMONTH(AC9,0))), 2), {1;3;5}, 0))),
  --ISNA(MATCH(ROW(INDIRECT(AC9&amp;":"&amp;EOMONTH(AC9,0))), AB$9:AB$21, 0))
)</f>
        <v>13</v>
      </c>
      <c r="K19" s="19">
        <f ca="1">ROUND(+J19*I19*B19,2)</f>
        <v>10.86</v>
      </c>
      <c r="AA19" s="39"/>
      <c r="AB19" s="38">
        <v>46380</v>
      </c>
      <c r="AC19" s="39"/>
      <c r="AD19" s="39"/>
      <c r="AE19" s="39"/>
    </row>
    <row r="20" spans="1:31" s="51" customFormat="1" ht="15.75" customHeight="1">
      <c r="A20" s="60" t="s">
        <v>28</v>
      </c>
      <c r="B20" s="24">
        <v>75</v>
      </c>
      <c r="C20" s="47" t="s">
        <v>8</v>
      </c>
      <c r="D20" s="47"/>
      <c r="E20" s="47" t="s">
        <v>8</v>
      </c>
      <c r="F20" s="47"/>
      <c r="G20" s="47" t="s">
        <v>8</v>
      </c>
      <c r="H20" s="23" t="s">
        <v>47</v>
      </c>
      <c r="I20" s="29">
        <v>8.5000000000000006E-2</v>
      </c>
      <c r="J20" s="23">
        <f t="array" aca="1" ref="J20" ca="1">SUMPRODUCT(
  --(ISNUMBER(MATCH(WEEKDAY(ROW(INDIRECT(AC9&amp;":"&amp;EOMONTH(AC9,0))), 2), {1;3;5}, 0))),
  --ISNA(MATCH(ROW(INDIRECT(AC9&amp;":"&amp;EOMONTH(AC9,0))), AB$9:AB$21, 0))
)</f>
        <v>13</v>
      </c>
      <c r="K20" s="50">
        <f ca="1">ROUND(+J20*I20*B20,2)</f>
        <v>82.88</v>
      </c>
      <c r="AA20" s="52"/>
      <c r="AB20" s="53">
        <v>46381</v>
      </c>
      <c r="AC20" s="52"/>
      <c r="AD20" s="52"/>
      <c r="AE20" s="52"/>
    </row>
    <row r="21" spans="1:31" ht="15.75" customHeight="1">
      <c r="A21" s="21" t="s">
        <v>10</v>
      </c>
      <c r="B21" s="22"/>
      <c r="C21" s="6"/>
      <c r="D21" s="6"/>
      <c r="E21" s="6"/>
      <c r="F21" s="6"/>
      <c r="G21" s="6"/>
      <c r="K21" s="18"/>
      <c r="AB21" s="42">
        <v>46382</v>
      </c>
    </row>
    <row r="22" spans="1:31" ht="15.75" customHeight="1">
      <c r="A22" s="60" t="s">
        <v>7</v>
      </c>
      <c r="B22" s="24">
        <v>150</v>
      </c>
      <c r="C22" s="47"/>
      <c r="D22" s="47"/>
      <c r="E22" s="47" t="s">
        <v>8</v>
      </c>
      <c r="F22" s="47"/>
      <c r="G22" s="47"/>
      <c r="H22" s="15" t="s">
        <v>47</v>
      </c>
      <c r="I22" s="29">
        <v>8.5000000000000006E-2</v>
      </c>
      <c r="J22" s="15">
        <f t="array" aca="1" ref="J22" ca="1">SUMPRODUCT(--(WEEKDAY(ROW(INDIRECT(DATE(YEAR(AC9), MONTH(AC9), 1) &amp; ":" &amp; EOMONTH(AC9, 0)))) = 4) * --(COUNTIF(AB9:AB21, ROW(INDIRECT(DATE(YEAR(AC9), MONTH(AC9), 1) &amp; ":" &amp; EOMONTH(AC9, 0)))) = 0))</f>
        <v>4</v>
      </c>
      <c r="K22" s="19">
        <f ca="1">ROUND(+J22*I22*B22,2)</f>
        <v>51</v>
      </c>
      <c r="AB22" s="37"/>
    </row>
    <row r="23" spans="1:31" ht="15.75" customHeight="1">
      <c r="A23" s="60" t="s">
        <v>64</v>
      </c>
      <c r="B23" s="25">
        <v>19.72</v>
      </c>
      <c r="C23" s="47" t="s">
        <v>8</v>
      </c>
      <c r="D23" s="47"/>
      <c r="E23" s="47"/>
      <c r="F23" s="47" t="s">
        <v>8</v>
      </c>
      <c r="G23" s="47"/>
      <c r="H23" s="15" t="s">
        <v>47</v>
      </c>
      <c r="I23" s="29">
        <v>8.5000000000000006E-2</v>
      </c>
      <c r="J23" s="15">
        <f t="array" aca="1" ref="J23" ca="1">SUMPRODUCT(--(WEEKDAY(ROW(INDIRECT(AC9&amp;":"&amp;AD9)),2)=1) + --(WEEKDAY(ROW(INDIRECT(AC9&amp;":"&amp;AD9)), 2)=4)) - SUMPRODUCT(--(WEEKDAY(AB9:AB21, 2)=1) + --(WEEKDAY(AB9:AB21, 2)=4), --(AB9:AB21&gt;=AC9), --(AB9:AB21&lt;=AD9))</f>
        <v>8</v>
      </c>
      <c r="K23" s="19">
        <f ca="1">ROUND(+J23*I23*B23,2)</f>
        <v>13.41</v>
      </c>
    </row>
    <row r="24" spans="1:31" ht="15.75" customHeight="1">
      <c r="A24" s="60" t="s">
        <v>65</v>
      </c>
      <c r="B24" s="25">
        <v>64</v>
      </c>
      <c r="C24" s="47"/>
      <c r="D24" s="47"/>
      <c r="E24" s="47"/>
      <c r="F24" s="47" t="s">
        <v>8</v>
      </c>
      <c r="G24" s="47"/>
      <c r="H24" s="15" t="s">
        <v>47</v>
      </c>
      <c r="I24" s="29">
        <v>8.5000000000000006E-2</v>
      </c>
      <c r="J24" s="23">
        <f t="array" aca="1" ref="J24" ca="1">SUMPRODUCT(--(WEEKDAY(ROW(INDIRECT(DATE(YEAR(AC9), MONTH(AC9), 1) &amp; ":" &amp; EOMONTH(AC9, 0)))) = 5) * --(COUNTIF(AB9:AB21, ROW(INDIRECT(DATE(YEAR(AC9), MONTH(AC9), 1) &amp; ":" &amp; EOMONTH(AC9, 0)))) = 0))</f>
        <v>4</v>
      </c>
      <c r="K24" s="19">
        <f ca="1">ROUND(+J24*I24*B24,2)</f>
        <v>21.76</v>
      </c>
    </row>
    <row r="25" spans="1:31" ht="15.75" customHeight="1">
      <c r="A25" s="60" t="s">
        <v>61</v>
      </c>
      <c r="B25" s="24">
        <f>1.39+1.14+3.73+3.47</f>
        <v>9.73</v>
      </c>
      <c r="C25" s="47" t="s">
        <v>8</v>
      </c>
      <c r="D25" s="47"/>
      <c r="E25" s="47" t="s">
        <v>8</v>
      </c>
      <c r="F25" s="47"/>
      <c r="G25" s="47" t="s">
        <v>8</v>
      </c>
      <c r="H25" s="15" t="s">
        <v>47</v>
      </c>
      <c r="I25" s="29">
        <v>8.5000000000000006E-2</v>
      </c>
      <c r="J25" s="15">
        <f t="array" aca="1" ref="J25" ca="1">SUMPRODUCT(
  --(ISNUMBER(MATCH(WEEKDAY(ROW(INDIRECT(AC9&amp;":"&amp;EOMONTH(AC9,0))), 2), {1;3;5}, 0))),
  --ISNA(MATCH(ROW(INDIRECT(AC9&amp;":"&amp;EOMONTH(AC9,0))), AB$9:AB$21, 0))
)</f>
        <v>13</v>
      </c>
      <c r="K25" s="19">
        <f ca="1">ROUND(+J25*I25*B25,2)</f>
        <v>10.75</v>
      </c>
    </row>
    <row r="26" spans="1:31" s="51" customFormat="1" ht="15.75" customHeight="1">
      <c r="A26" s="60" t="s">
        <v>28</v>
      </c>
      <c r="B26" s="24">
        <v>73</v>
      </c>
      <c r="C26" s="47" t="s">
        <v>8</v>
      </c>
      <c r="D26" s="47"/>
      <c r="E26" s="47" t="s">
        <v>8</v>
      </c>
      <c r="F26" s="47"/>
      <c r="G26" s="47" t="s">
        <v>8</v>
      </c>
      <c r="H26" s="23" t="s">
        <v>47</v>
      </c>
      <c r="I26" s="29">
        <v>8.5000000000000006E-2</v>
      </c>
      <c r="J26" s="23">
        <f t="array" aca="1" ref="J26" ca="1">SUMPRODUCT(
  --(ISNUMBER(MATCH(WEEKDAY(ROW(INDIRECT(AC9&amp;":"&amp;EOMONTH(AC9,0))), 2), {1;3;5}, 0))),
  --ISNA(MATCH(ROW(INDIRECT(AC9&amp;":"&amp;EOMONTH(AC9,0))), AB$9:AB$21, 0))
)</f>
        <v>13</v>
      </c>
      <c r="K26" s="50">
        <f ca="1">ROUND(+J26*I26*B26,2)</f>
        <v>80.67</v>
      </c>
    </row>
    <row r="27" spans="1:31" ht="15.75" customHeight="1">
      <c r="A27" s="21" t="s">
        <v>11</v>
      </c>
      <c r="B27" s="22"/>
      <c r="C27" s="6"/>
      <c r="D27" s="6"/>
      <c r="E27" s="6"/>
      <c r="F27" s="6"/>
      <c r="G27" s="6"/>
      <c r="K27" s="18"/>
    </row>
    <row r="28" spans="1:31" ht="15.75" customHeight="1">
      <c r="A28" s="60" t="s">
        <v>12</v>
      </c>
      <c r="B28" s="24">
        <f>1.67+3.68+1.38+1.93</f>
        <v>8.66</v>
      </c>
      <c r="C28" s="48" t="s">
        <v>8</v>
      </c>
      <c r="D28" s="48"/>
      <c r="E28" s="48" t="s">
        <v>8</v>
      </c>
      <c r="F28" s="48"/>
      <c r="G28" s="48" t="s">
        <v>8</v>
      </c>
      <c r="H28" s="15" t="s">
        <v>47</v>
      </c>
      <c r="I28" s="15">
        <v>8.7999999999999995E-2</v>
      </c>
      <c r="J28" s="15">
        <f t="array" aca="1" ref="J28" ca="1">SUMPRODUCT(
  --(ISNUMBER(MATCH(WEEKDAY(ROW(INDIRECT(AC9&amp;":"&amp;EOMONTH(AC9,0))), 2), {1;3;5}, 0))),
  --ISNA(MATCH(ROW(INDIRECT(AC9&amp;":"&amp;EOMONTH(AC9,0))), AB$9:AB$21, 0))
)</f>
        <v>13</v>
      </c>
      <c r="K28" s="19">
        <f t="shared" ref="K28:K33" ca="1" si="1">ROUND(+J28*I28*B28,2)</f>
        <v>9.91</v>
      </c>
    </row>
    <row r="29" spans="1:31" ht="15.75" customHeight="1">
      <c r="A29" s="60" t="s">
        <v>66</v>
      </c>
      <c r="B29" s="24">
        <v>96</v>
      </c>
      <c r="C29" s="48" t="s">
        <v>8</v>
      </c>
      <c r="D29" s="48"/>
      <c r="E29" s="48" t="s">
        <v>8</v>
      </c>
      <c r="F29" s="48"/>
      <c r="G29" s="48" t="s">
        <v>8</v>
      </c>
      <c r="H29" s="15" t="s">
        <v>47</v>
      </c>
      <c r="I29" s="15">
        <v>8.7999999999999995E-2</v>
      </c>
      <c r="J29" s="15">
        <f t="array" aca="1" ref="J29" ca="1">SUMPRODUCT(
  --(ISNUMBER(MATCH(WEEKDAY(ROW(INDIRECT(AC9&amp;":"&amp;EOMONTH(AC9,0))), 2), {1;3;5}, 0))),
  --ISNA(MATCH(ROW(INDIRECT(AC9&amp;":"&amp;EOMONTH(AC9,0))), AB$9:AB$21, 0))
)</f>
        <v>13</v>
      </c>
      <c r="K29" s="19">
        <f t="shared" ca="1" si="1"/>
        <v>109.82</v>
      </c>
    </row>
    <row r="30" spans="1:31" ht="30" customHeight="1">
      <c r="A30" s="60" t="s">
        <v>29</v>
      </c>
      <c r="B30" s="24">
        <v>17</v>
      </c>
      <c r="C30" s="49" t="s">
        <v>8</v>
      </c>
      <c r="D30" s="49"/>
      <c r="E30" s="49"/>
      <c r="F30" s="49"/>
      <c r="G30" s="49"/>
      <c r="H30" s="15" t="s">
        <v>47</v>
      </c>
      <c r="I30" s="15">
        <v>8.7999999999999995E-2</v>
      </c>
      <c r="J30" s="15">
        <f t="array" aca="1" ref="J30" ca="1">SUMPRODUCT(--(WEEKDAY(DATE(YEAR(AC9), MONTH(AC9), ROW(INDIRECT("1:"&amp;DAY(EOMONTH(AC9, 0))))))=2), --(ISNA(MATCH(DATE(YEAR(AC9), MONTH(AC9), ROW(INDIRECT("1:"&amp;DAY(EOMONTH(AC9, 0))))), AB9:AB21, 0))))</f>
        <v>4</v>
      </c>
      <c r="K30" s="19">
        <f t="shared" ca="1" si="1"/>
        <v>5.98</v>
      </c>
    </row>
    <row r="31" spans="1:31" ht="15.75" customHeight="1">
      <c r="A31" s="60" t="s">
        <v>67</v>
      </c>
      <c r="B31" s="24">
        <v>20</v>
      </c>
      <c r="C31" s="49" t="s">
        <v>8</v>
      </c>
      <c r="D31" s="49"/>
      <c r="E31" s="49"/>
      <c r="F31" s="49" t="s">
        <v>8</v>
      </c>
      <c r="G31" s="49"/>
      <c r="H31" s="15" t="s">
        <v>47</v>
      </c>
      <c r="I31" s="29">
        <v>8.5000000000000006E-2</v>
      </c>
      <c r="J31" s="15">
        <f t="array" aca="1" ref="J31" ca="1">SUMPRODUCT(--(WEEKDAY(ROW(INDIRECT(AC9&amp;":"&amp;AD9)),2)=1) + --(WEEKDAY(ROW(INDIRECT(AC9&amp;":"&amp;AD9)), 2)=4)) - SUMPRODUCT(--(WEEKDAY(AB9:AB21, 2)=1) + --(WEEKDAY(AB9:AB21, 2)=4), --(AB9:AB21&gt;=AC9), --(AB9:AB21&lt;=AD9))</f>
        <v>8</v>
      </c>
      <c r="K31" s="19">
        <f ca="1">ROUND(+J31*I31*B31,2)</f>
        <v>13.6</v>
      </c>
    </row>
    <row r="32" spans="1:31" ht="15.75" customHeight="1">
      <c r="A32" s="60" t="s">
        <v>30</v>
      </c>
      <c r="B32" s="24">
        <v>49</v>
      </c>
      <c r="C32" s="49" t="s">
        <v>8</v>
      </c>
      <c r="D32" s="49"/>
      <c r="E32" s="49"/>
      <c r="F32" s="49" t="s">
        <v>8</v>
      </c>
      <c r="G32" s="49"/>
      <c r="H32" s="15" t="s">
        <v>47</v>
      </c>
      <c r="I32" s="29">
        <v>8.5000000000000006E-2</v>
      </c>
      <c r="J32" s="15">
        <f t="array" aca="1" ref="J32" ca="1">SUMPRODUCT(--(WEEKDAY(ROW(INDIRECT(AC9&amp;":"&amp;AD9)),2)=1) + --(WEEKDAY(ROW(INDIRECT(AC9&amp;":"&amp;AD9)), 2)=4)) - SUMPRODUCT(--(WEEKDAY(AB9:AB21, 2)=1) + --(WEEKDAY(AB9:AB21, 2)=4), --(AB9:AB21&gt;=AC9), --(AB9:AB21&lt;=AD9))</f>
        <v>8</v>
      </c>
      <c r="K32" s="19">
        <f t="shared" ca="1" si="1"/>
        <v>33.32</v>
      </c>
    </row>
    <row r="33" spans="1:11" ht="15.75" customHeight="1">
      <c r="A33" s="60" t="s">
        <v>31</v>
      </c>
      <c r="B33" s="24">
        <v>100</v>
      </c>
      <c r="C33" s="70"/>
      <c r="D33" s="70"/>
      <c r="E33" s="70"/>
      <c r="F33" s="70"/>
      <c r="G33" s="70"/>
      <c r="H33" s="15" t="s">
        <v>47</v>
      </c>
      <c r="I33" s="29">
        <v>8.5000000000000006E-2</v>
      </c>
      <c r="J33" s="15">
        <v>1</v>
      </c>
      <c r="K33" s="19">
        <f t="shared" si="1"/>
        <v>8.5</v>
      </c>
    </row>
    <row r="34" spans="1:11" ht="138" customHeight="1">
      <c r="A34" s="60" t="s">
        <v>68</v>
      </c>
      <c r="B34" s="31">
        <v>2</v>
      </c>
      <c r="C34" s="30"/>
      <c r="D34" s="8" t="s">
        <v>57</v>
      </c>
      <c r="E34" s="8"/>
      <c r="F34" s="8" t="s">
        <v>57</v>
      </c>
      <c r="G34" s="33"/>
      <c r="H34" s="15" t="s">
        <v>53</v>
      </c>
      <c r="I34" s="54">
        <v>6.8739999999999997</v>
      </c>
      <c r="J34" s="23">
        <f t="array" aca="1" ref="J34" ca="1">SUMPRODUCT(--((WEEKDAY(ROW(INDIRECT(DATE(YEAR(AC9), MONTH(AC9), 1) &amp; ":" &amp; EOMONTH(AC9, 0))), 2) = 2) + (WEEKDAY(ROW(INDIRECT(DATE(YEAR(AC9), MONTH(AC9), 1) &amp; ":" &amp; EOMONTH(AC9, 0))), 2) = 4)), --(COUNTIF($AB$9:$AB$22, ROW(INDIRECT(DATE(YEAR(AC9), MONTH(AC9), 1) &amp; ":" &amp; EOMONTH(AC9, 0)))) = 0))</f>
        <v>8</v>
      </c>
      <c r="K34" s="19">
        <f ca="1">ROUND(+J34*I34*B34,2)</f>
        <v>109.98</v>
      </c>
    </row>
    <row r="35" spans="1:11" ht="15.75" customHeight="1">
      <c r="A35" s="43" t="s">
        <v>13</v>
      </c>
      <c r="B35" s="45">
        <f>B10+B11+B12+B13+B14+B15+B16+B18+B19+B20+B22+B23+B24+B25+B26+B28+B29+B31+B30+B33+B32</f>
        <v>1210.5700000000002</v>
      </c>
      <c r="C35" s="44"/>
      <c r="D35" s="6"/>
      <c r="E35" s="6"/>
      <c r="F35" s="6"/>
      <c r="G35" s="6"/>
      <c r="K35" s="32"/>
    </row>
    <row r="36" spans="1:11" s="51" customFormat="1" ht="51" customHeight="1">
      <c r="A36" s="60" t="s">
        <v>14</v>
      </c>
      <c r="B36" s="25">
        <v>250</v>
      </c>
      <c r="C36" s="47"/>
      <c r="D36" s="47"/>
      <c r="E36" s="47"/>
      <c r="F36" s="47"/>
      <c r="G36" s="47"/>
      <c r="H36" s="23" t="s">
        <v>47</v>
      </c>
      <c r="I36" s="54">
        <v>1.4E-2</v>
      </c>
      <c r="J36" s="23">
        <v>0</v>
      </c>
      <c r="K36" s="19">
        <f>ROUND(+J36*I36*B36,2)</f>
        <v>0</v>
      </c>
    </row>
    <row r="37" spans="1:11" ht="42.75" customHeight="1">
      <c r="A37" s="60" t="s">
        <v>15</v>
      </c>
      <c r="B37" s="26">
        <v>250</v>
      </c>
      <c r="C37" s="47" t="s">
        <v>8</v>
      </c>
      <c r="D37" s="47" t="s">
        <v>8</v>
      </c>
      <c r="E37" s="47" t="s">
        <v>8</v>
      </c>
      <c r="F37" s="47" t="s">
        <v>8</v>
      </c>
      <c r="G37" s="47" t="s">
        <v>8</v>
      </c>
      <c r="H37" s="15" t="s">
        <v>47</v>
      </c>
      <c r="I37" s="54">
        <v>6.0000000000000001E-3</v>
      </c>
      <c r="J37" s="23">
        <f t="array" aca="1" ref="J37" ca="1">SUMPRODUCT(--(WEEKDAY(ROW(INDIRECT(DATE(YEAR(AC9), MONTH(AC9), 1) &amp; ":" &amp; EOMONTH(AC9, 0))), 2) &lt;= 5), --(COUNTIF($AB$9:$AB$21, ROW(INDIRECT(DATE(YEAR(AC9), MONTH(AC9), 1) &amp; ":" &amp; EOMONTH(AC9, 0)))) = 0))</f>
        <v>21</v>
      </c>
      <c r="K37" s="19">
        <f ca="1">ROUND(+J37*I37*B37,2)</f>
        <v>31.5</v>
      </c>
    </row>
    <row r="38" spans="1:11" s="51" customFormat="1" ht="15.75" customHeight="1">
      <c r="A38" s="60" t="s">
        <v>16</v>
      </c>
      <c r="B38" s="25">
        <v>840</v>
      </c>
      <c r="C38" s="47"/>
      <c r="D38" s="47"/>
      <c r="E38" s="47"/>
      <c r="F38" s="47"/>
      <c r="G38" s="47"/>
      <c r="H38" s="23" t="s">
        <v>47</v>
      </c>
      <c r="I38" s="54">
        <v>1.4E-2</v>
      </c>
      <c r="J38" s="23">
        <v>0</v>
      </c>
      <c r="K38" s="19">
        <f>ROUND(+J38*I38*B38,2)</f>
        <v>0</v>
      </c>
    </row>
    <row r="39" spans="1:11" ht="15.75" customHeight="1">
      <c r="A39" s="60" t="s">
        <v>17</v>
      </c>
      <c r="B39" s="17">
        <v>840</v>
      </c>
      <c r="C39" s="47" t="s">
        <v>8</v>
      </c>
      <c r="D39" s="47"/>
      <c r="E39" s="47"/>
      <c r="F39" s="47" t="s">
        <v>8</v>
      </c>
      <c r="G39" s="47"/>
      <c r="H39" s="15" t="s">
        <v>47</v>
      </c>
      <c r="I39" s="29">
        <v>7.0000000000000001E-3</v>
      </c>
      <c r="J39" s="23">
        <f t="array" aca="1" ref="J39" ca="1">SUMPRODUCT(--(WEEKDAY(ROW(INDIRECT(AC9&amp;":"&amp;AD9)),2)=1) + --(WEEKDAY(ROW(INDIRECT(AC9&amp;":"&amp;AD9)), 2)=4)) - SUMPRODUCT(--(WEEKDAY(AB9:AB21, 2)=1) + --(WEEKDAY(AB9:AB21, 2)=4), --(AB9:AB21&gt;=AC9), --(AB9:AB21&lt;=AD9))</f>
        <v>8</v>
      </c>
      <c r="K39" s="19">
        <f ca="1">+J39*I39*B39</f>
        <v>47.04</v>
      </c>
    </row>
    <row r="40" spans="1:11" ht="15.75" customHeight="1">
      <c r="A40" s="60" t="s">
        <v>49</v>
      </c>
      <c r="B40" s="17">
        <v>1</v>
      </c>
      <c r="C40" s="67" t="s">
        <v>21</v>
      </c>
      <c r="D40" s="67"/>
      <c r="E40" s="67" t="s">
        <v>8</v>
      </c>
      <c r="F40" s="67"/>
      <c r="G40" s="67"/>
      <c r="H40" s="15" t="s">
        <v>48</v>
      </c>
      <c r="I40" s="19">
        <v>0</v>
      </c>
      <c r="J40" s="15">
        <v>1</v>
      </c>
      <c r="K40" s="19">
        <f>+J40*I40</f>
        <v>0</v>
      </c>
    </row>
    <row r="41" spans="1:11" ht="15.75" customHeight="1">
      <c r="A41" s="60" t="s">
        <v>18</v>
      </c>
      <c r="B41" s="17">
        <v>2</v>
      </c>
      <c r="C41" s="68"/>
      <c r="D41" s="68"/>
      <c r="E41" s="68"/>
      <c r="F41" s="68"/>
      <c r="G41" s="68"/>
      <c r="H41" s="15" t="s">
        <v>35</v>
      </c>
      <c r="I41" s="19">
        <v>0</v>
      </c>
      <c r="J41" s="15">
        <v>0</v>
      </c>
      <c r="K41" s="19">
        <f>+J41*I41</f>
        <v>0</v>
      </c>
    </row>
    <row r="42" spans="1:11" ht="15.75" customHeight="1">
      <c r="A42" s="60" t="s">
        <v>19</v>
      </c>
      <c r="B42" s="17">
        <v>2</v>
      </c>
      <c r="C42" s="68"/>
      <c r="D42" s="68"/>
      <c r="E42" s="68"/>
      <c r="F42" s="68"/>
      <c r="G42" s="68"/>
      <c r="H42" s="15" t="s">
        <v>35</v>
      </c>
      <c r="I42" s="19">
        <v>0</v>
      </c>
      <c r="J42" s="15">
        <v>0</v>
      </c>
      <c r="K42" s="19">
        <f>+J42*I42</f>
        <v>0</v>
      </c>
    </row>
    <row r="43" spans="1:11" s="51" customFormat="1" ht="18.75" customHeight="1">
      <c r="A43" s="60" t="s">
        <v>51</v>
      </c>
      <c r="B43" s="25">
        <v>140</v>
      </c>
      <c r="C43" s="69"/>
      <c r="D43" s="69"/>
      <c r="E43" s="69"/>
      <c r="F43" s="69"/>
      <c r="G43" s="69"/>
      <c r="H43" s="23" t="s">
        <v>47</v>
      </c>
      <c r="I43" s="50">
        <v>0</v>
      </c>
      <c r="J43" s="23">
        <v>0</v>
      </c>
      <c r="K43" s="50">
        <f t="shared" ref="K43:K49" si="2">+J43*I43*B43</f>
        <v>0</v>
      </c>
    </row>
    <row r="44" spans="1:11" ht="54.65" customHeight="1">
      <c r="A44" s="61" t="s">
        <v>69</v>
      </c>
      <c r="B44" s="26">
        <v>309</v>
      </c>
      <c r="C44" s="68"/>
      <c r="D44" s="68"/>
      <c r="E44" s="68"/>
      <c r="F44" s="68"/>
      <c r="G44" s="68"/>
      <c r="H44" s="15" t="s">
        <v>47</v>
      </c>
      <c r="I44" s="19">
        <v>0</v>
      </c>
      <c r="J44" s="15">
        <v>0</v>
      </c>
      <c r="K44" s="19">
        <f t="shared" si="2"/>
        <v>0</v>
      </c>
    </row>
    <row r="45" spans="1:11" ht="57.75" customHeight="1">
      <c r="A45" s="46" t="s">
        <v>56</v>
      </c>
      <c r="B45" s="26">
        <v>1428</v>
      </c>
      <c r="C45" s="68"/>
      <c r="D45" s="68"/>
      <c r="E45" s="68"/>
      <c r="F45" s="68"/>
      <c r="G45" s="68"/>
      <c r="H45" s="15" t="s">
        <v>47</v>
      </c>
      <c r="I45" s="19">
        <v>0</v>
      </c>
      <c r="J45" s="15">
        <v>0</v>
      </c>
      <c r="K45" s="19">
        <f t="shared" si="2"/>
        <v>0</v>
      </c>
    </row>
    <row r="46" spans="1:11" ht="27" customHeight="1">
      <c r="A46" s="60" t="s">
        <v>32</v>
      </c>
      <c r="B46" s="17">
        <v>350</v>
      </c>
      <c r="C46" s="68"/>
      <c r="D46" s="68"/>
      <c r="E46" s="68"/>
      <c r="F46" s="68"/>
      <c r="G46" s="68"/>
      <c r="H46" s="15" t="s">
        <v>47</v>
      </c>
      <c r="I46" s="19">
        <v>0</v>
      </c>
      <c r="J46" s="15">
        <v>0</v>
      </c>
      <c r="K46" s="19">
        <f t="shared" si="2"/>
        <v>0</v>
      </c>
    </row>
    <row r="47" spans="1:11" ht="30" customHeight="1">
      <c r="A47" s="62" t="s">
        <v>50</v>
      </c>
      <c r="B47" s="26">
        <v>649</v>
      </c>
      <c r="C47" s="68"/>
      <c r="D47" s="68"/>
      <c r="E47" s="68"/>
      <c r="F47" s="68"/>
      <c r="G47" s="68"/>
      <c r="H47" s="15" t="s">
        <v>47</v>
      </c>
      <c r="I47" s="19">
        <v>0</v>
      </c>
      <c r="J47" s="15">
        <v>0</v>
      </c>
      <c r="K47" s="19">
        <f t="shared" si="2"/>
        <v>0</v>
      </c>
    </row>
    <row r="48" spans="1:11" ht="33" customHeight="1">
      <c r="A48" s="63" t="s">
        <v>20</v>
      </c>
      <c r="B48" s="27">
        <v>190</v>
      </c>
      <c r="C48" s="68"/>
      <c r="D48" s="68"/>
      <c r="E48" s="68"/>
      <c r="F48" s="68"/>
      <c r="G48" s="68"/>
      <c r="H48" s="15" t="s">
        <v>47</v>
      </c>
      <c r="I48" s="19">
        <v>0</v>
      </c>
      <c r="J48" s="15">
        <v>0</v>
      </c>
      <c r="K48" s="19">
        <f t="shared" si="2"/>
        <v>0</v>
      </c>
    </row>
    <row r="49" spans="1:34" ht="18.5" customHeight="1">
      <c r="A49" s="64" t="s">
        <v>22</v>
      </c>
      <c r="B49" s="17">
        <v>10</v>
      </c>
      <c r="C49" s="72" t="s">
        <v>21</v>
      </c>
      <c r="D49" s="72"/>
      <c r="E49" s="72"/>
      <c r="F49" s="72"/>
      <c r="G49" s="72"/>
      <c r="H49" s="16" t="s">
        <v>47</v>
      </c>
      <c r="I49" s="20">
        <v>0</v>
      </c>
      <c r="J49" s="16">
        <v>1</v>
      </c>
      <c r="K49" s="19">
        <f t="shared" si="2"/>
        <v>0</v>
      </c>
    </row>
    <row r="50" spans="1:34" ht="30.75" customHeight="1">
      <c r="A50" s="64" t="s">
        <v>38</v>
      </c>
      <c r="B50" s="17">
        <v>45</v>
      </c>
      <c r="C50" s="65" t="s">
        <v>21</v>
      </c>
      <c r="D50" s="65"/>
      <c r="E50" s="65"/>
      <c r="F50" s="65"/>
      <c r="G50" s="65"/>
      <c r="H50" s="15" t="s">
        <v>39</v>
      </c>
      <c r="I50" s="29">
        <v>1.5820000000000001</v>
      </c>
      <c r="J50" s="15">
        <v>1</v>
      </c>
      <c r="K50" s="19">
        <f>ROUND(+J50*I50*B50,2)</f>
        <v>71.19</v>
      </c>
    </row>
    <row r="51" spans="1:34" ht="43.5" customHeight="1">
      <c r="B51" s="9"/>
      <c r="J51" s="10" t="s">
        <v>37</v>
      </c>
      <c r="K51" s="12">
        <f ca="1">+K50+K49+K48+K47+K46+K45+K44+K43+K42+K41+K40+K39+K38+K37+K36+K34+K33+K32+K31+K30+K29+K28+K26+K25+K24+K23+K22+K20+K19+K18+K16+K15+K14+K13+K12+K11+K10</f>
        <v>1005.94</v>
      </c>
    </row>
    <row r="52" spans="1:34" ht="30" customHeight="1">
      <c r="A52" s="1" t="s">
        <v>41</v>
      </c>
      <c r="B52" s="2"/>
      <c r="AF52" s="4"/>
      <c r="AG52" s="4"/>
      <c r="AH52" s="4"/>
    </row>
    <row r="53" spans="1:34">
      <c r="A53" s="1" t="s">
        <v>46</v>
      </c>
      <c r="B53" s="3"/>
    </row>
    <row r="54" spans="1:34">
      <c r="A54" s="1" t="s">
        <v>42</v>
      </c>
      <c r="B54" s="2"/>
    </row>
  </sheetData>
  <mergeCells count="15">
    <mergeCell ref="C50:G50"/>
    <mergeCell ref="C5:V5"/>
    <mergeCell ref="C40:G40"/>
    <mergeCell ref="C45:G45"/>
    <mergeCell ref="C43:G43"/>
    <mergeCell ref="C33:G33"/>
    <mergeCell ref="C44:G44"/>
    <mergeCell ref="C46:G46"/>
    <mergeCell ref="C47:G47"/>
    <mergeCell ref="C48:G48"/>
    <mergeCell ref="C7:G7"/>
    <mergeCell ref="C49:G49"/>
    <mergeCell ref="C16:G16"/>
    <mergeCell ref="C41:G41"/>
    <mergeCell ref="C42:G42"/>
  </mergeCells>
  <hyperlinks>
    <hyperlink ref="W3" r:id="rId1" xr:uid="{635DF3E5-EFD0-47BC-A706-A12E634F2478}"/>
  </hyperlinks>
  <pageMargins left="0.7" right="0.7" top="0.75" bottom="0.75" header="0.3" footer="0.3"/>
  <pageSetup scale="97" orientation="portrait" r:id="rId2"/>
  <rowBreaks count="1" manualBreakCount="1">
    <brk id="33" max="21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Ignalinos</vt:lpstr>
      <vt:lpstr>Ignalinos!Print_Area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Sigita Abasovienė</dc:creator>
  <cp:lastModifiedBy>Sigita Abasovienė</cp:lastModifiedBy>
  <cp:lastPrinted>2026-01-07T09:17:08Z</cp:lastPrinted>
  <dcterms:created xsi:type="dcterms:W3CDTF">2020-10-08T09:14:56Z</dcterms:created>
  <dcterms:modified xsi:type="dcterms:W3CDTF">2026-01-18T20:38:40Z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adc2f5-c777-4900-b753-2ee6edf7f3c9_Enabled">
    <vt:lpwstr>true</vt:lpwstr>
  </property>
  <property fmtid="{D5CDD505-2E9C-101B-9397-08002B2CF9AE}" pid="3" name="MSIP_Label_8eadc2f5-c777-4900-b753-2ee6edf7f3c9_SetDate">
    <vt:lpwstr>2026-01-13T18:38:35Z</vt:lpwstr>
  </property>
  <property fmtid="{D5CDD505-2E9C-101B-9397-08002B2CF9AE}" pid="4" name="MSIP_Label_8eadc2f5-c777-4900-b753-2ee6edf7f3c9_Method">
    <vt:lpwstr>Standard</vt:lpwstr>
  </property>
  <property fmtid="{D5CDD505-2E9C-101B-9397-08002B2CF9AE}" pid="5" name="MSIP_Label_8eadc2f5-c777-4900-b753-2ee6edf7f3c9_Name">
    <vt:lpwstr>Bendras (Viešas)</vt:lpwstr>
  </property>
  <property fmtid="{D5CDD505-2E9C-101B-9397-08002B2CF9AE}" pid="6" name="MSIP_Label_8eadc2f5-c777-4900-b753-2ee6edf7f3c9_SiteId">
    <vt:lpwstr>53b2fdca-17e3-4e3a-9efe-7e3b63ba6b8f</vt:lpwstr>
  </property>
  <property fmtid="{D5CDD505-2E9C-101B-9397-08002B2CF9AE}" pid="7" name="MSIP_Label_8eadc2f5-c777-4900-b753-2ee6edf7f3c9_ActionId">
    <vt:lpwstr>c0f85ef5-b3cc-47df-8cbb-e63d1c623091</vt:lpwstr>
  </property>
  <property fmtid="{D5CDD505-2E9C-101B-9397-08002B2CF9AE}" pid="8" name="MSIP_Label_8eadc2f5-c777-4900-b753-2ee6edf7f3c9_ContentBits">
    <vt:lpwstr>0</vt:lpwstr>
  </property>
  <property fmtid="{D5CDD505-2E9C-101B-9397-08002B2CF9AE}" pid="9" name="MSIP_Label_8eadc2f5-c777-4900-b753-2ee6edf7f3c9_Tag">
    <vt:lpwstr>10, 3, 0, 1</vt:lpwstr>
  </property>
</Properties>
</file>