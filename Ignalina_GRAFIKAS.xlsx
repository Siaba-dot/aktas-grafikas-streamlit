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kumentai\ca\VPS\1_Finansai\2_Ekonomisciu dokumentai\Sigitos\Utenos VPK\SI-224011_Ignalina\01-12\"/>
    </mc:Choice>
  </mc:AlternateContent>
  <xr:revisionPtr revIDLastSave="0" documentId="8_{E0E5E9A3-4CA6-41BE-9A80-8154784835A6}" xr6:coauthVersionLast="47" xr6:coauthVersionMax="47" xr10:uidLastSave="{00000000-0000-0000-0000-000000000000}"/>
  <bookViews>
    <workbookView xWindow="-110" yWindow="-110" windowWidth="19420" windowHeight="11500" xr2:uid="{3CB4FF35-30E3-4668-8B8B-B83F3D1B67DB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5" i="1"/>
  <c r="B22" i="1"/>
  <c r="B16" i="1"/>
  <c r="B12" i="1"/>
  <c r="B10" i="1"/>
  <c r="B9" i="1"/>
</calcChain>
</file>

<file path=xl/sharedStrings.xml><?xml version="1.0" encoding="utf-8"?>
<sst xmlns="http://schemas.openxmlformats.org/spreadsheetml/2006/main" count="386" uniqueCount="67">
  <si>
    <t>Objektas: Utenos apskr. VPK Ignalinos r. PK</t>
  </si>
  <si>
    <t>NUOLATINĖS PRIEŽIŪROS IR VALYMO DARBŲ GRAFIKAS</t>
  </si>
  <si>
    <t>Adresas: Vasario 16-sios g. 11, Ignalina</t>
  </si>
  <si>
    <t>Mėnesiai</t>
  </si>
  <si>
    <t>Plotas kv m./kiekis</t>
  </si>
  <si>
    <t>LAPKRITIS</t>
  </si>
  <si>
    <t>GRUODIS- SAUSIS- VASARIS</t>
  </si>
  <si>
    <t>KOVAS</t>
  </si>
  <si>
    <t>BALANDIS</t>
  </si>
  <si>
    <t>GEGUŽĖ-BIRŽELIS-LIEPA- RUGPJŪTIS- RUGSĖJIS</t>
  </si>
  <si>
    <t>SPALIS</t>
  </si>
  <si>
    <t>Savaitės dienos</t>
  </si>
  <si>
    <t>Pirmadienis</t>
  </si>
  <si>
    <t>Antradienis</t>
  </si>
  <si>
    <t>Trečiadienis</t>
  </si>
  <si>
    <t>Ketvirtadienis</t>
  </si>
  <si>
    <t>Penktadienis</t>
  </si>
  <si>
    <t>I aukštas</t>
  </si>
  <si>
    <t>Kabinetai</t>
  </si>
  <si>
    <t>X</t>
  </si>
  <si>
    <t>Kabinetai – MIGRACIJA</t>
  </si>
  <si>
    <t>Operatyvinės grupės patalpos</t>
  </si>
  <si>
    <t>WC patalpos</t>
  </si>
  <si>
    <t>Koridoriai, laiptinės, tambūrai, holas</t>
  </si>
  <si>
    <t>Laikino sulaikymo patalpos</t>
  </si>
  <si>
    <t xml:space="preserve">Serverinė  </t>
  </si>
  <si>
    <t>1 kartas per metus</t>
  </si>
  <si>
    <t>II aukštas</t>
  </si>
  <si>
    <t>Koridoriai, laiptinės</t>
  </si>
  <si>
    <t>III aukštas</t>
  </si>
  <si>
    <t>Virtuvė-poilsio kambarys</t>
  </si>
  <si>
    <t>Salė (minkšta danga)</t>
  </si>
  <si>
    <t>Rūsys</t>
  </si>
  <si>
    <t>Dušai (vyrams, moterims)</t>
  </si>
  <si>
    <t>Sporto salė ir persirengimas</t>
  </si>
  <si>
    <t>Pagalbinės patalpos (persirengimas ir ginklinė )</t>
  </si>
  <si>
    <t>Poilsio kambarys</t>
  </si>
  <si>
    <t xml:space="preserve">Koridoriai  </t>
  </si>
  <si>
    <t>Kt. pagalbinės patalpos</t>
  </si>
  <si>
    <t>1 kartas per metus.</t>
  </si>
  <si>
    <r>
      <rPr>
        <b/>
        <sz val="10"/>
        <color rgb="FF000000"/>
        <rFont val="Liberation Sans"/>
        <charset val="2"/>
      </rPr>
      <t>I a.</t>
    </r>
    <r>
      <rPr>
        <sz val="11"/>
        <color rgb="FF000000"/>
        <rFont val="Times New Roman"/>
        <family val="1"/>
      </rPr>
      <t xml:space="preserve">: Operatyvinės grupės patalpos(22,84), WC patalpos(14,58), Koridoriai, laiptinės, tambūrai, holas(119), Laikino sulaikymo patalpos(25,64); </t>
    </r>
    <r>
      <rPr>
        <b/>
        <sz val="10"/>
        <color rgb="FF000000"/>
        <rFont val="Liberation Sans"/>
        <charset val="2"/>
      </rPr>
      <t>IIa</t>
    </r>
    <r>
      <rPr>
        <sz val="11"/>
        <color rgb="FF000000"/>
        <rFont val="Times New Roman"/>
        <family val="1"/>
      </rPr>
      <t xml:space="preserve">.: WC patalpos(9,83), Koridoriai, laiptinės(75); </t>
    </r>
    <r>
      <rPr>
        <b/>
        <sz val="10"/>
        <color rgb="FF000000"/>
        <rFont val="Liberation Sans"/>
        <charset val="2"/>
      </rPr>
      <t>Rūsys</t>
    </r>
    <r>
      <rPr>
        <sz val="11"/>
        <color rgb="FF000000"/>
        <rFont val="Times New Roman"/>
        <family val="1"/>
      </rPr>
      <t>: Dušai(8,66), Sporto salė ir persirengimas(96)</t>
    </r>
  </si>
  <si>
    <t>B</t>
  </si>
  <si>
    <t>Iš viso:</t>
  </si>
  <si>
    <t>Teritorijos priežiūra (šilt.laik.) šaligatviai, praėjimo takai, pandusas, laiptai</t>
  </si>
  <si>
    <t>Teritorijos priežiūra (šalt.laik.) šaligatviai, praėjimo takai, pandusas, laiptai</t>
  </si>
  <si>
    <t>Teritorijos priežiūra (šilt.laik. )</t>
  </si>
  <si>
    <t>Teritorijos priežiūra (šalt.laik.)</t>
  </si>
  <si>
    <t>Virtuvių tvarkymas</t>
  </si>
  <si>
    <t>1k/ mėn</t>
  </si>
  <si>
    <t>1 kartas per mėn.</t>
  </si>
  <si>
    <t>Šaldytuvo valymas</t>
  </si>
  <si>
    <t>2 vnt</t>
  </si>
  <si>
    <t>1 kartas per metus (rugsėjis)</t>
  </si>
  <si>
    <t>Mikrobangų krosnelės valymas</t>
  </si>
  <si>
    <t>Žolės pjovimas, grėbimas, išvežimas</t>
  </si>
  <si>
    <t>2 kartai per mėn.</t>
  </si>
  <si>
    <r>
      <rPr>
        <sz val="10"/>
        <color rgb="FF000000"/>
        <rFont val="Liberation Sans"/>
        <charset val="2"/>
      </rPr>
      <t xml:space="preserve">Savaiminių želdinių (samanų, žolių, išlendančių iš tarpų tarp trinkelių, </t>
    </r>
    <r>
      <rPr>
        <sz val="11"/>
        <color rgb="FF000000"/>
        <rFont val="Times New Roman"/>
        <family val="1"/>
      </rPr>
      <t>pastatų kampų, prie nuogrindų ir t.t.) naikinimas</t>
    </r>
  </si>
  <si>
    <t>1 kartas per metus (gegužė)</t>
  </si>
  <si>
    <t>Mechanizuotas sniego stumdymas nuo parkavimo vietų (visame kieme) ir nuo važiuojamosios dalies</t>
  </si>
  <si>
    <t>3 kartai per metus (pagal Užsakovo poreikį)</t>
  </si>
  <si>
    <t>Akmens masės plytelių impregnavimas</t>
  </si>
  <si>
    <t>Langų valymas+Aukštuminis langų valymas</t>
  </si>
  <si>
    <t>Generalinis stiklinių pertvarų valymas pastato viduje</t>
  </si>
  <si>
    <t>Vidinių sienų valymas</t>
  </si>
  <si>
    <t>A higienos reikmenų ir priemonių krepšelis</t>
  </si>
  <si>
    <t>„B“ budinti valytoja 2 val/48 kartai per metus nuo lapkričio 1 d. iki kovo 31 d.</t>
  </si>
  <si>
    <t>2 k. 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</si>
</sst>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Liberation Sans"/>
      <charset val="186"/>
    </font>
    <font>
      <sz val="10"/>
      <color rgb="FF000000"/>
      <name val="Liberation Sans"/>
      <charset val="186"/>
    </font>
    <font>
      <b/>
      <sz val="10"/>
      <color rgb="FF000000"/>
      <name val="Liberation Sans"/>
      <charset val="186"/>
    </font>
    <font>
      <b/>
      <sz val="10"/>
      <color rgb="FFFFFFFF"/>
      <name val="Liberation Sans"/>
      <charset val="186"/>
    </font>
    <font>
      <sz val="10"/>
      <color rgb="FFCC0000"/>
      <name val="Liberation Sans"/>
      <charset val="186"/>
    </font>
    <font>
      <i/>
      <sz val="10"/>
      <color rgb="FF808080"/>
      <name val="Liberation Sans"/>
      <charset val="186"/>
    </font>
    <font>
      <sz val="10"/>
      <color rgb="FF006600"/>
      <name val="Liberation Sans"/>
      <charset val="186"/>
    </font>
    <font>
      <b/>
      <sz val="24"/>
      <color rgb="FF000000"/>
      <name val="Liberation Sans"/>
      <charset val="186"/>
    </font>
    <font>
      <b/>
      <sz val="18"/>
      <color rgb="FF000000"/>
      <name val="Liberation Sans"/>
      <charset val="186"/>
    </font>
    <font>
      <b/>
      <sz val="12"/>
      <color rgb="FF000000"/>
      <name val="Liberation Sans"/>
      <charset val="186"/>
    </font>
    <font>
      <u/>
      <sz val="10"/>
      <color rgb="FF0000EE"/>
      <name val="Liberation Sans"/>
      <charset val="186"/>
    </font>
    <font>
      <sz val="10"/>
      <color rgb="FF996600"/>
      <name val="Liberation Sans"/>
      <charset val="186"/>
    </font>
    <font>
      <sz val="10"/>
      <color rgb="FF333333"/>
      <name val="Liberation Sans"/>
      <charset val="186"/>
    </font>
    <font>
      <b/>
      <i/>
      <u/>
      <sz val="10"/>
      <color rgb="FF000000"/>
      <name val="Liberation Sans"/>
      <charset val="186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254061"/>
      <name val="Times New Roman"/>
      <family val="1"/>
    </font>
    <font>
      <b/>
      <sz val="10"/>
      <color rgb="FF000000"/>
      <name val="Liberation Sans"/>
      <charset val="2"/>
    </font>
    <font>
      <sz val="10"/>
      <color rgb="FF000000"/>
      <name val="Liberation Sans"/>
      <charset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rgb="FFEEEEEE"/>
        <bgColor rgb="FFEEEEEE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8" fillId="0" borderId="0" applyNumberFormat="0" applyBorder="0" applyProtection="0"/>
    <xf numFmtId="0" fontId="9" fillId="0" borderId="0" applyNumberFormat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7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44">
    <xf numFmtId="0" fontId="0" fillId="0" borderId="0" xfId="0"/>
    <xf numFmtId="0" fontId="14" fillId="0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5" fillId="0" borderId="2" xfId="0" applyFont="1" applyBorder="1" applyAlignment="1">
      <alignment wrapText="1"/>
    </xf>
    <xf numFmtId="0" fontId="15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wrapText="1"/>
    </xf>
    <xf numFmtId="0" fontId="15" fillId="4" borderId="2" xfId="0" applyFont="1" applyFill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4" fillId="9" borderId="2" xfId="0" applyFont="1" applyFill="1" applyBorder="1" applyAlignment="1">
      <alignment wrapText="1"/>
    </xf>
    <xf numFmtId="0" fontId="14" fillId="9" borderId="2" xfId="0" applyFont="1" applyFill="1" applyBorder="1" applyAlignment="1">
      <alignment horizontal="center" wrapText="1"/>
    </xf>
    <xf numFmtId="0" fontId="15" fillId="9" borderId="2" xfId="0" applyFont="1" applyFill="1" applyBorder="1" applyAlignment="1">
      <alignment horizontal="center" wrapText="1"/>
    </xf>
    <xf numFmtId="0" fontId="15" fillId="0" borderId="2" xfId="0" applyFont="1" applyFill="1" applyBorder="1" applyAlignment="1">
      <alignment wrapText="1"/>
    </xf>
    <xf numFmtId="0" fontId="15" fillId="0" borderId="2" xfId="0" applyFont="1" applyFill="1" applyBorder="1" applyAlignment="1">
      <alignment horizontal="center" wrapText="1"/>
    </xf>
    <xf numFmtId="0" fontId="15" fillId="4" borderId="2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4" borderId="2" xfId="0" applyFont="1" applyFill="1" applyBorder="1" applyAlignment="1">
      <alignment horizontal="center" vertical="center" wrapText="1"/>
    </xf>
    <xf numFmtId="2" fontId="15" fillId="0" borderId="2" xfId="0" applyNumberFormat="1" applyFont="1" applyBorder="1" applyAlignment="1">
      <alignment horizontal="center" wrapText="1"/>
    </xf>
    <xf numFmtId="0" fontId="15" fillId="4" borderId="0" xfId="0" applyFont="1" applyFill="1" applyAlignment="1">
      <alignment horizontal="center" wrapText="1"/>
    </xf>
    <xf numFmtId="0" fontId="15" fillId="0" borderId="0" xfId="0" applyFont="1" applyFill="1" applyAlignment="1">
      <alignment horizontal="center" wrapText="1"/>
    </xf>
    <xf numFmtId="0" fontId="15" fillId="4" borderId="2" xfId="0" applyFont="1" applyFill="1" applyBorder="1" applyAlignment="1">
      <alignment wrapText="1"/>
    </xf>
    <xf numFmtId="0" fontId="15" fillId="4" borderId="0" xfId="0" applyFont="1" applyFill="1" applyAlignment="1">
      <alignment wrapText="1"/>
    </xf>
    <xf numFmtId="0" fontId="15" fillId="0" borderId="0" xfId="0" applyFont="1" applyFill="1" applyAlignment="1">
      <alignment wrapText="1"/>
    </xf>
    <xf numFmtId="0" fontId="14" fillId="9" borderId="2" xfId="0" applyFont="1" applyFill="1" applyBorder="1" applyAlignment="1">
      <alignment horizontal="right" wrapText="1"/>
    </xf>
    <xf numFmtId="1" fontId="14" fillId="9" borderId="2" xfId="0" applyNumberFormat="1" applyFont="1" applyFill="1" applyBorder="1" applyAlignment="1">
      <alignment horizontal="center" wrapText="1"/>
    </xf>
    <xf numFmtId="0" fontId="15" fillId="10" borderId="2" xfId="0" applyFont="1" applyFill="1" applyBorder="1" applyAlignment="1">
      <alignment horizont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wrapText="1"/>
    </xf>
    <xf numFmtId="0" fontId="0" fillId="0" borderId="2" xfId="0" applyBorder="1"/>
    <xf numFmtId="0" fontId="15" fillId="0" borderId="2" xfId="0" applyFont="1" applyBorder="1" applyAlignment="1">
      <alignment horizontal="justify" wrapText="1"/>
    </xf>
    <xf numFmtId="0" fontId="15" fillId="0" borderId="0" xfId="0" applyFont="1" applyAlignment="1">
      <alignment horizontal="justify"/>
    </xf>
    <xf numFmtId="0" fontId="15" fillId="0" borderId="2" xfId="0" applyFont="1" applyFill="1" applyBorder="1" applyAlignment="1">
      <alignment horizontal="left" wrapText="1"/>
    </xf>
    <xf numFmtId="0" fontId="15" fillId="0" borderId="2" xfId="0" applyFont="1" applyFill="1" applyBorder="1" applyAlignment="1">
      <alignment vertical="top" wrapText="1"/>
    </xf>
    <xf numFmtId="0" fontId="15" fillId="0" borderId="2" xfId="0" applyFont="1" applyFill="1" applyBorder="1" applyAlignment="1">
      <alignment horizontal="center" vertical="top" wrapText="1"/>
    </xf>
    <xf numFmtId="0" fontId="15" fillId="0" borderId="2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Fill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wrapText="1"/>
    </xf>
    <xf numFmtId="0" fontId="14" fillId="0" borderId="2" xfId="0" applyFont="1" applyFill="1" applyBorder="1" applyAlignment="1">
      <alignment horizontal="center" wrapText="1"/>
    </xf>
    <xf numFmtId="0" fontId="16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</cellXfs>
  <cellStyles count="19">
    <cellStyle name="Accent" xfId="7" xr:uid="{96F18435-6CC4-453D-923C-A0BD0C0398E4}"/>
    <cellStyle name="Accent 1" xfId="8" xr:uid="{FEC3C4D4-6334-408E-8B80-A5063A59913C}"/>
    <cellStyle name="Accent 2" xfId="9" xr:uid="{242D1243-C140-4B6E-96AA-0E1264781732}"/>
    <cellStyle name="Accent 3" xfId="10" xr:uid="{2564901D-80A9-4DE8-BD22-DDC7225E216C}"/>
    <cellStyle name="Bad" xfId="4" builtinId="27" customBuiltin="1"/>
    <cellStyle name="Error" xfId="11" xr:uid="{B3D1E040-A20C-489C-A11D-4A03E85CB499}"/>
    <cellStyle name="Footnote" xfId="12" xr:uid="{CC3DDA78-A4F1-452D-A509-7D6EA61F52DD}"/>
    <cellStyle name="Good" xfId="3" builtinId="26" customBuiltin="1"/>
    <cellStyle name="Heading" xfId="13" xr:uid="{127A2723-679F-48A7-9A59-697982B22CEC}"/>
    <cellStyle name="Heading 1" xfId="1" builtinId="16" customBuiltin="1"/>
    <cellStyle name="Heading 2" xfId="2" builtinId="17" customBuiltin="1"/>
    <cellStyle name="Hyperlink" xfId="14" xr:uid="{62EFEC47-81C9-4589-8D46-9376FAF8AA80}"/>
    <cellStyle name="Neutral" xfId="5" builtinId="28" customBuiltin="1"/>
    <cellStyle name="Normal" xfId="0" builtinId="0" customBuiltin="1"/>
    <cellStyle name="Note" xfId="6" builtinId="10" customBuiltin="1"/>
    <cellStyle name="Result" xfId="15" xr:uid="{1F57EA96-EA3B-4F91-B504-472543343B01}"/>
    <cellStyle name="Status" xfId="16" xr:uid="{EC68ECB5-6A93-4040-93C8-ECE15B0384D3}"/>
    <cellStyle name="Text" xfId="17" xr:uid="{CC9E8DE1-EEBA-49FA-AE11-B9510EA7CBBD}"/>
    <cellStyle name="Warning" xfId="18" xr:uid="{D99D454C-5A08-41D7-8436-31094D9DBF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3ECF-CE2C-4BF2-B110-29FD043160C6}">
  <dimension ref="A1:IT50"/>
  <sheetViews>
    <sheetView tabSelected="1" workbookViewId="0"/>
  </sheetViews>
  <sheetFormatPr defaultRowHeight="15.75"/>
  <cols>
    <col min="1" max="1" width="39" style="2" customWidth="1"/>
    <col min="2" max="2" width="8.7265625" style="2" customWidth="1"/>
    <col min="3" max="32" width="6.6328125" style="2" customWidth="1"/>
    <col min="33" max="33" width="1.81640625" style="2" customWidth="1"/>
    <col min="34" max="34" width="3.54296875" style="2" customWidth="1"/>
    <col min="35" max="254" width="8.54296875" style="2" customWidth="1"/>
    <col min="255" max="255" width="8.7265625" customWidth="1"/>
  </cols>
  <sheetData>
    <row r="1" spans="1:32" ht="28.15" customHeight="1">
      <c r="A1" s="1" t="s">
        <v>0</v>
      </c>
      <c r="C1" s="36" t="s">
        <v>1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32" ht="14">
      <c r="A2" s="1" t="s">
        <v>2</v>
      </c>
    </row>
    <row r="3" spans="1:32" ht="14"/>
    <row r="4" spans="1:32" ht="34.15" customHeight="1">
      <c r="A4" s="3" t="s">
        <v>3</v>
      </c>
      <c r="B4" s="37" t="s">
        <v>4</v>
      </c>
      <c r="C4" s="38" t="s">
        <v>5</v>
      </c>
      <c r="D4" s="38"/>
      <c r="E4" s="38"/>
      <c r="F4" s="38"/>
      <c r="G4" s="38"/>
      <c r="H4" s="39" t="s">
        <v>6</v>
      </c>
      <c r="I4" s="39"/>
      <c r="J4" s="39"/>
      <c r="K4" s="39"/>
      <c r="L4" s="39"/>
      <c r="M4" s="38" t="s">
        <v>7</v>
      </c>
      <c r="N4" s="38"/>
      <c r="O4" s="38"/>
      <c r="P4" s="38"/>
      <c r="Q4" s="38"/>
      <c r="R4" s="40" t="s">
        <v>8</v>
      </c>
      <c r="S4" s="40"/>
      <c r="T4" s="40"/>
      <c r="U4" s="40"/>
      <c r="V4" s="40"/>
      <c r="W4" s="38" t="s">
        <v>9</v>
      </c>
      <c r="X4" s="38"/>
      <c r="Y4" s="38"/>
      <c r="Z4" s="38"/>
      <c r="AA4" s="38"/>
      <c r="AB4" s="41" t="s">
        <v>10</v>
      </c>
      <c r="AC4" s="41"/>
      <c r="AD4" s="41"/>
      <c r="AE4" s="41"/>
      <c r="AF4" s="41"/>
    </row>
    <row r="5" spans="1:32" ht="79.900000000000006" customHeight="1">
      <c r="A5" s="3" t="s">
        <v>11</v>
      </c>
      <c r="B5" s="37"/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7" t="s">
        <v>12</v>
      </c>
      <c r="S5" s="7" t="s">
        <v>13</v>
      </c>
      <c r="T5" s="7" t="s">
        <v>14</v>
      </c>
      <c r="U5" s="7" t="s">
        <v>15</v>
      </c>
      <c r="V5" s="7" t="s">
        <v>16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16</v>
      </c>
      <c r="AB5" s="7" t="s">
        <v>12</v>
      </c>
      <c r="AC5" s="7" t="s">
        <v>13</v>
      </c>
      <c r="AD5" s="7" t="s">
        <v>14</v>
      </c>
      <c r="AE5" s="7" t="s">
        <v>15</v>
      </c>
      <c r="AF5" s="7" t="s">
        <v>16</v>
      </c>
    </row>
    <row r="6" spans="1:32" ht="15.75" customHeight="1">
      <c r="A6" s="8" t="s">
        <v>17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21.65" customHeight="1">
      <c r="A7" s="11" t="s">
        <v>18</v>
      </c>
      <c r="B7" s="12">
        <v>100</v>
      </c>
      <c r="C7" s="13" t="s">
        <v>19</v>
      </c>
      <c r="D7" s="13"/>
      <c r="E7" s="13"/>
      <c r="F7" s="13"/>
      <c r="G7" s="13"/>
      <c r="H7" s="12" t="s">
        <v>19</v>
      </c>
      <c r="I7" s="12"/>
      <c r="J7" s="12"/>
      <c r="K7" s="12"/>
      <c r="L7" s="12"/>
      <c r="M7" s="13" t="s">
        <v>19</v>
      </c>
      <c r="N7" s="13"/>
      <c r="O7" s="13"/>
      <c r="P7" s="13"/>
      <c r="Q7" s="13"/>
      <c r="R7" s="12" t="s">
        <v>19</v>
      </c>
      <c r="S7" s="12"/>
      <c r="T7" s="12"/>
      <c r="U7" s="12"/>
      <c r="V7" s="12"/>
      <c r="W7" s="13" t="s">
        <v>19</v>
      </c>
      <c r="X7" s="13"/>
      <c r="Y7" s="13"/>
      <c r="Z7" s="13"/>
      <c r="AA7" s="13"/>
      <c r="AB7" s="12" t="s">
        <v>19</v>
      </c>
      <c r="AC7" s="12"/>
      <c r="AD7" s="12"/>
      <c r="AE7" s="12"/>
      <c r="AF7" s="12"/>
    </row>
    <row r="8" spans="1:32" ht="14">
      <c r="A8" s="11" t="s">
        <v>20</v>
      </c>
      <c r="B8" s="12">
        <v>16</v>
      </c>
      <c r="C8" s="13"/>
      <c r="D8" s="13"/>
      <c r="E8" s="13"/>
      <c r="F8" s="13" t="s">
        <v>19</v>
      </c>
      <c r="G8" s="13"/>
      <c r="H8" s="12"/>
      <c r="I8" s="12"/>
      <c r="J8" s="12"/>
      <c r="K8" s="12" t="s">
        <v>19</v>
      </c>
      <c r="L8" s="12"/>
      <c r="M8" s="13"/>
      <c r="N8" s="13"/>
      <c r="O8" s="13"/>
      <c r="P8" s="13" t="s">
        <v>19</v>
      </c>
      <c r="Q8" s="13"/>
      <c r="R8" s="12"/>
      <c r="S8" s="12"/>
      <c r="T8" s="12"/>
      <c r="U8" s="12" t="s">
        <v>19</v>
      </c>
      <c r="V8" s="12"/>
      <c r="W8" s="13"/>
      <c r="X8" s="13"/>
      <c r="Y8" s="13"/>
      <c r="Z8" s="13" t="s">
        <v>19</v>
      </c>
      <c r="AA8" s="13"/>
      <c r="AB8" s="12"/>
      <c r="AC8" s="12"/>
      <c r="AD8" s="12"/>
      <c r="AE8" s="12" t="s">
        <v>19</v>
      </c>
      <c r="AF8" s="12"/>
    </row>
    <row r="9" spans="1:32" ht="14">
      <c r="A9" s="11" t="s">
        <v>21</v>
      </c>
      <c r="B9" s="12">
        <f>17.85+4.99</f>
        <v>22.840000000000003</v>
      </c>
      <c r="C9" s="13" t="s">
        <v>19</v>
      </c>
      <c r="D9" s="13"/>
      <c r="E9" s="13" t="s">
        <v>19</v>
      </c>
      <c r="F9" s="13"/>
      <c r="G9" s="13" t="s">
        <v>19</v>
      </c>
      <c r="H9" s="12" t="s">
        <v>19</v>
      </c>
      <c r="I9" s="12"/>
      <c r="J9" s="12" t="s">
        <v>19</v>
      </c>
      <c r="K9" s="12"/>
      <c r="L9" s="12" t="s">
        <v>19</v>
      </c>
      <c r="M9" s="13" t="s">
        <v>19</v>
      </c>
      <c r="N9" s="13"/>
      <c r="O9" s="13" t="s">
        <v>19</v>
      </c>
      <c r="P9" s="13"/>
      <c r="Q9" s="13" t="s">
        <v>19</v>
      </c>
      <c r="R9" s="12" t="s">
        <v>19</v>
      </c>
      <c r="S9" s="12"/>
      <c r="T9" s="12" t="s">
        <v>19</v>
      </c>
      <c r="U9" s="12"/>
      <c r="V9" s="12" t="s">
        <v>19</v>
      </c>
      <c r="W9" s="13" t="s">
        <v>19</v>
      </c>
      <c r="X9" s="13"/>
      <c r="Y9" s="13" t="s">
        <v>19</v>
      </c>
      <c r="Z9" s="13"/>
      <c r="AA9" s="13" t="s">
        <v>19</v>
      </c>
      <c r="AB9" s="12" t="s">
        <v>19</v>
      </c>
      <c r="AC9" s="12"/>
      <c r="AD9" s="12" t="s">
        <v>19</v>
      </c>
      <c r="AE9" s="12"/>
      <c r="AF9" s="12" t="s">
        <v>19</v>
      </c>
    </row>
    <row r="10" spans="1:32" ht="14">
      <c r="A10" s="11" t="s">
        <v>22</v>
      </c>
      <c r="B10" s="14">
        <f>3.77+6.59+4.22</f>
        <v>14.579999999999998</v>
      </c>
      <c r="C10" s="13" t="s">
        <v>19</v>
      </c>
      <c r="D10" s="13"/>
      <c r="E10" s="13" t="s">
        <v>19</v>
      </c>
      <c r="F10" s="13"/>
      <c r="G10" s="13" t="s">
        <v>19</v>
      </c>
      <c r="H10" s="12" t="s">
        <v>19</v>
      </c>
      <c r="I10" s="12"/>
      <c r="J10" s="12" t="s">
        <v>19</v>
      </c>
      <c r="K10" s="12"/>
      <c r="L10" s="12" t="s">
        <v>19</v>
      </c>
      <c r="M10" s="13" t="s">
        <v>19</v>
      </c>
      <c r="N10" s="13"/>
      <c r="O10" s="13" t="s">
        <v>19</v>
      </c>
      <c r="P10" s="13"/>
      <c r="Q10" s="13" t="s">
        <v>19</v>
      </c>
      <c r="R10" s="12" t="s">
        <v>19</v>
      </c>
      <c r="S10" s="12"/>
      <c r="T10" s="12" t="s">
        <v>19</v>
      </c>
      <c r="U10" s="12"/>
      <c r="V10" s="12" t="s">
        <v>19</v>
      </c>
      <c r="W10" s="13" t="s">
        <v>19</v>
      </c>
      <c r="X10" s="13"/>
      <c r="Y10" s="13" t="s">
        <v>19</v>
      </c>
      <c r="Z10" s="13"/>
      <c r="AA10" s="13" t="s">
        <v>19</v>
      </c>
      <c r="AB10" s="12" t="s">
        <v>19</v>
      </c>
      <c r="AC10" s="12"/>
      <c r="AD10" s="12" t="s">
        <v>19</v>
      </c>
      <c r="AE10" s="12"/>
      <c r="AF10" s="12" t="s">
        <v>19</v>
      </c>
    </row>
    <row r="11" spans="1:32" ht="14">
      <c r="A11" s="11" t="s">
        <v>23</v>
      </c>
      <c r="B11" s="14">
        <v>119</v>
      </c>
      <c r="C11" s="13" t="s">
        <v>19</v>
      </c>
      <c r="D11" s="13"/>
      <c r="E11" s="13" t="s">
        <v>19</v>
      </c>
      <c r="F11" s="13"/>
      <c r="G11" s="13" t="s">
        <v>19</v>
      </c>
      <c r="H11" s="12" t="s">
        <v>19</v>
      </c>
      <c r="I11" s="12"/>
      <c r="J11" s="12" t="s">
        <v>19</v>
      </c>
      <c r="K11" s="12"/>
      <c r="L11" s="12" t="s">
        <v>19</v>
      </c>
      <c r="M11" s="13" t="s">
        <v>19</v>
      </c>
      <c r="N11" s="13"/>
      <c r="O11" s="13" t="s">
        <v>19</v>
      </c>
      <c r="P11" s="13"/>
      <c r="Q11" s="13" t="s">
        <v>19</v>
      </c>
      <c r="R11" s="12" t="s">
        <v>19</v>
      </c>
      <c r="S11" s="12"/>
      <c r="T11" s="12"/>
      <c r="U11" s="12" t="s">
        <v>19</v>
      </c>
      <c r="V11" s="12"/>
      <c r="W11" s="13" t="s">
        <v>19</v>
      </c>
      <c r="X11" s="13"/>
      <c r="Y11" s="13"/>
      <c r="Z11" s="13" t="s">
        <v>19</v>
      </c>
      <c r="AA11" s="13"/>
      <c r="AB11" s="12" t="s">
        <v>19</v>
      </c>
      <c r="AC11" s="12"/>
      <c r="AD11" s="12"/>
      <c r="AE11" s="12" t="s">
        <v>19</v>
      </c>
      <c r="AF11" s="12"/>
    </row>
    <row r="12" spans="1:32" ht="14">
      <c r="A12" s="11" t="s">
        <v>24</v>
      </c>
      <c r="B12" s="14">
        <f>4.97+4.95+7.63+8.09</f>
        <v>25.64</v>
      </c>
      <c r="C12" s="13"/>
      <c r="D12" s="13"/>
      <c r="E12" s="13" t="s">
        <v>19</v>
      </c>
      <c r="F12" s="13"/>
      <c r="G12" s="13"/>
      <c r="H12" s="12"/>
      <c r="I12" s="12"/>
      <c r="J12" s="12" t="s">
        <v>19</v>
      </c>
      <c r="K12" s="12"/>
      <c r="L12" s="12"/>
      <c r="M12" s="13"/>
      <c r="N12" s="13"/>
      <c r="O12" s="13" t="s">
        <v>19</v>
      </c>
      <c r="P12" s="13"/>
      <c r="Q12" s="13"/>
      <c r="R12" s="12"/>
      <c r="S12" s="12"/>
      <c r="T12" s="12" t="s">
        <v>19</v>
      </c>
      <c r="U12" s="12"/>
      <c r="V12" s="12"/>
      <c r="W12" s="13"/>
      <c r="X12" s="13"/>
      <c r="Y12" s="13" t="s">
        <v>19</v>
      </c>
      <c r="Z12" s="13"/>
      <c r="AA12" s="13"/>
      <c r="AB12" s="12"/>
      <c r="AC12" s="12"/>
      <c r="AD12" s="12" t="s">
        <v>19</v>
      </c>
      <c r="AE12" s="12"/>
      <c r="AF12" s="12"/>
    </row>
    <row r="13" spans="1:32" ht="15.75" customHeight="1">
      <c r="A13" s="11" t="s">
        <v>25</v>
      </c>
      <c r="B13" s="14">
        <v>6.57</v>
      </c>
      <c r="C13" s="13"/>
      <c r="D13" s="13"/>
      <c r="E13" s="13"/>
      <c r="F13" s="13"/>
      <c r="G13" s="13"/>
      <c r="H13" s="12"/>
      <c r="I13" s="12"/>
      <c r="J13" s="12"/>
      <c r="K13" s="12"/>
      <c r="L13" s="12"/>
      <c r="M13" s="42" t="s">
        <v>26</v>
      </c>
      <c r="N13" s="42"/>
      <c r="O13" s="42"/>
      <c r="P13" s="42"/>
      <c r="Q13" s="42"/>
      <c r="R13" s="12"/>
      <c r="S13" s="12"/>
      <c r="T13" s="12"/>
      <c r="U13" s="12"/>
      <c r="V13" s="12"/>
      <c r="W13" s="13"/>
      <c r="X13" s="13"/>
      <c r="Y13" s="13"/>
      <c r="Z13" s="13"/>
      <c r="AA13" s="13"/>
      <c r="AB13" s="12"/>
      <c r="AC13" s="12"/>
      <c r="AD13" s="12"/>
      <c r="AE13" s="12"/>
      <c r="AF13" s="12"/>
    </row>
    <row r="14" spans="1:32" ht="14">
      <c r="A14" s="8" t="s">
        <v>27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14">
      <c r="A15" s="11" t="s">
        <v>18</v>
      </c>
      <c r="B15" s="14">
        <v>214</v>
      </c>
      <c r="C15" s="13"/>
      <c r="D15" s="13" t="s">
        <v>19</v>
      </c>
      <c r="E15" s="13"/>
      <c r="F15" s="13"/>
      <c r="G15" s="13"/>
      <c r="H15" s="12"/>
      <c r="I15" s="12" t="s">
        <v>19</v>
      </c>
      <c r="J15" s="12"/>
      <c r="K15" s="12"/>
      <c r="L15" s="12"/>
      <c r="M15" s="13"/>
      <c r="N15" s="13" t="s">
        <v>19</v>
      </c>
      <c r="O15" s="13"/>
      <c r="P15" s="13"/>
      <c r="Q15" s="13"/>
      <c r="R15" s="12"/>
      <c r="S15" s="12" t="s">
        <v>19</v>
      </c>
      <c r="T15" s="12"/>
      <c r="U15" s="12"/>
      <c r="V15" s="12"/>
      <c r="W15" s="13"/>
      <c r="X15" s="13" t="s">
        <v>19</v>
      </c>
      <c r="Y15" s="13"/>
      <c r="Z15" s="13"/>
      <c r="AA15" s="13"/>
      <c r="AB15" s="12"/>
      <c r="AC15" s="12" t="s">
        <v>19</v>
      </c>
      <c r="AD15" s="12"/>
      <c r="AE15" s="12"/>
      <c r="AF15" s="12"/>
    </row>
    <row r="16" spans="1:32" ht="14">
      <c r="A16" s="11" t="s">
        <v>22</v>
      </c>
      <c r="B16" s="14">
        <f>3.66+1.49+1.21+3.47</f>
        <v>9.83</v>
      </c>
      <c r="C16" s="13" t="s">
        <v>19</v>
      </c>
      <c r="D16" s="13"/>
      <c r="E16" s="13" t="s">
        <v>19</v>
      </c>
      <c r="F16" s="13"/>
      <c r="G16" s="13" t="s">
        <v>19</v>
      </c>
      <c r="H16" s="12" t="s">
        <v>19</v>
      </c>
      <c r="I16" s="12"/>
      <c r="J16" s="12" t="s">
        <v>19</v>
      </c>
      <c r="K16" s="12"/>
      <c r="L16" s="12" t="s">
        <v>19</v>
      </c>
      <c r="M16" s="13" t="s">
        <v>19</v>
      </c>
      <c r="N16" s="13"/>
      <c r="O16" s="13" t="s">
        <v>19</v>
      </c>
      <c r="P16" s="13"/>
      <c r="Q16" s="13" t="s">
        <v>19</v>
      </c>
      <c r="R16" s="12" t="s">
        <v>19</v>
      </c>
      <c r="S16" s="12"/>
      <c r="T16" s="12" t="s">
        <v>19</v>
      </c>
      <c r="U16" s="12"/>
      <c r="V16" s="12" t="s">
        <v>19</v>
      </c>
      <c r="W16" s="13" t="s">
        <v>19</v>
      </c>
      <c r="X16" s="13"/>
      <c r="Y16" s="13" t="s">
        <v>19</v>
      </c>
      <c r="Z16" s="13"/>
      <c r="AA16" s="13" t="s">
        <v>19</v>
      </c>
      <c r="AB16" s="12" t="s">
        <v>19</v>
      </c>
      <c r="AC16" s="12"/>
      <c r="AD16" s="12" t="s">
        <v>19</v>
      </c>
      <c r="AE16" s="12"/>
      <c r="AF16" s="12" t="s">
        <v>19</v>
      </c>
    </row>
    <row r="17" spans="1:32" ht="14">
      <c r="A17" s="11" t="s">
        <v>28</v>
      </c>
      <c r="B17" s="14">
        <v>75</v>
      </c>
      <c r="C17" s="13" t="s">
        <v>19</v>
      </c>
      <c r="D17" s="13"/>
      <c r="E17" s="13" t="s">
        <v>19</v>
      </c>
      <c r="F17" s="13"/>
      <c r="G17" s="13" t="s">
        <v>19</v>
      </c>
      <c r="H17" s="12" t="s">
        <v>19</v>
      </c>
      <c r="I17" s="12"/>
      <c r="J17" s="12" t="s">
        <v>19</v>
      </c>
      <c r="K17" s="12"/>
      <c r="L17" s="12" t="s">
        <v>19</v>
      </c>
      <c r="M17" s="13" t="s">
        <v>19</v>
      </c>
      <c r="N17" s="13"/>
      <c r="O17" s="13" t="s">
        <v>19</v>
      </c>
      <c r="P17" s="13"/>
      <c r="Q17" s="13" t="s">
        <v>19</v>
      </c>
      <c r="R17" s="12" t="s">
        <v>19</v>
      </c>
      <c r="S17" s="12"/>
      <c r="T17" s="12"/>
      <c r="U17" s="12" t="s">
        <v>19</v>
      </c>
      <c r="V17" s="12"/>
      <c r="W17" s="13" t="s">
        <v>19</v>
      </c>
      <c r="X17" s="13"/>
      <c r="Y17" s="13"/>
      <c r="Z17" s="13" t="s">
        <v>19</v>
      </c>
      <c r="AA17" s="13"/>
      <c r="AB17" s="12" t="s">
        <v>19</v>
      </c>
      <c r="AC17" s="12"/>
      <c r="AD17" s="12"/>
      <c r="AE17" s="12" t="s">
        <v>19</v>
      </c>
      <c r="AF17" s="12"/>
    </row>
    <row r="18" spans="1:32" ht="14">
      <c r="A18" s="8" t="s">
        <v>29</v>
      </c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14">
      <c r="A19" s="11" t="s">
        <v>18</v>
      </c>
      <c r="B19" s="14">
        <v>150</v>
      </c>
      <c r="C19" s="13"/>
      <c r="D19" s="13"/>
      <c r="E19" s="13" t="s">
        <v>19</v>
      </c>
      <c r="F19" s="13"/>
      <c r="G19" s="13"/>
      <c r="H19" s="12"/>
      <c r="I19" s="12"/>
      <c r="J19" s="12" t="s">
        <v>19</v>
      </c>
      <c r="K19" s="12"/>
      <c r="L19" s="12"/>
      <c r="M19" s="13"/>
      <c r="N19" s="13"/>
      <c r="O19" s="13" t="s">
        <v>19</v>
      </c>
      <c r="P19" s="13"/>
      <c r="Q19" s="13"/>
      <c r="R19" s="12"/>
      <c r="S19" s="12"/>
      <c r="T19" s="12" t="s">
        <v>19</v>
      </c>
      <c r="U19" s="12"/>
      <c r="V19" s="12"/>
      <c r="W19" s="13"/>
      <c r="X19" s="13"/>
      <c r="Y19" s="13" t="s">
        <v>19</v>
      </c>
      <c r="Z19" s="13"/>
      <c r="AA19" s="13"/>
      <c r="AB19" s="12"/>
      <c r="AC19" s="12"/>
      <c r="AD19" s="12" t="s">
        <v>19</v>
      </c>
      <c r="AE19" s="12"/>
      <c r="AF19" s="12"/>
    </row>
    <row r="20" spans="1:32" ht="14">
      <c r="A20" s="11" t="s">
        <v>30</v>
      </c>
      <c r="B20" s="16">
        <v>19.72</v>
      </c>
      <c r="C20" s="13" t="s">
        <v>19</v>
      </c>
      <c r="D20" s="17"/>
      <c r="E20" s="13"/>
      <c r="F20" s="13" t="s">
        <v>19</v>
      </c>
      <c r="G20" s="17"/>
      <c r="H20" s="12" t="s">
        <v>19</v>
      </c>
      <c r="I20" s="18"/>
      <c r="J20" s="12"/>
      <c r="K20" s="12" t="s">
        <v>19</v>
      </c>
      <c r="L20" s="18"/>
      <c r="M20" s="13" t="s">
        <v>19</v>
      </c>
      <c r="N20" s="17"/>
      <c r="O20" s="13"/>
      <c r="P20" s="13" t="s">
        <v>19</v>
      </c>
      <c r="Q20" s="17"/>
      <c r="R20" s="12" t="s">
        <v>19</v>
      </c>
      <c r="S20" s="12"/>
      <c r="T20" s="12"/>
      <c r="U20" s="12" t="s">
        <v>19</v>
      </c>
      <c r="V20" s="12"/>
      <c r="W20" s="13" t="s">
        <v>19</v>
      </c>
      <c r="X20" s="13"/>
      <c r="Y20" s="13"/>
      <c r="Z20" s="13" t="s">
        <v>19</v>
      </c>
      <c r="AA20" s="13"/>
      <c r="AB20" s="12" t="s">
        <v>19</v>
      </c>
      <c r="AC20" s="12"/>
      <c r="AD20" s="12"/>
      <c r="AE20" s="12" t="s">
        <v>19</v>
      </c>
      <c r="AF20" s="12"/>
    </row>
    <row r="21" spans="1:32" ht="14">
      <c r="A21" s="11" t="s">
        <v>31</v>
      </c>
      <c r="B21" s="12">
        <v>64</v>
      </c>
      <c r="C21" s="13"/>
      <c r="D21" s="13"/>
      <c r="E21" s="13"/>
      <c r="F21" s="13" t="s">
        <v>19</v>
      </c>
      <c r="G21" s="13"/>
      <c r="H21" s="12"/>
      <c r="I21" s="12"/>
      <c r="J21" s="12"/>
      <c r="K21" s="12" t="s">
        <v>19</v>
      </c>
      <c r="L21" s="12"/>
      <c r="M21" s="13"/>
      <c r="N21" s="13"/>
      <c r="O21" s="13"/>
      <c r="P21" s="13" t="s">
        <v>19</v>
      </c>
      <c r="Q21" s="13"/>
      <c r="R21" s="12"/>
      <c r="S21" s="12"/>
      <c r="T21" s="12"/>
      <c r="U21" s="12" t="s">
        <v>19</v>
      </c>
      <c r="V21" s="12"/>
      <c r="W21" s="13"/>
      <c r="X21" s="13"/>
      <c r="Y21" s="13"/>
      <c r="Z21" s="13" t="s">
        <v>19</v>
      </c>
      <c r="AA21" s="13"/>
      <c r="AB21" s="12"/>
      <c r="AC21" s="12"/>
      <c r="AD21" s="12"/>
      <c r="AE21" s="12" t="s">
        <v>19</v>
      </c>
      <c r="AF21" s="12"/>
    </row>
    <row r="22" spans="1:32" ht="14">
      <c r="A22" s="11" t="s">
        <v>22</v>
      </c>
      <c r="B22" s="14">
        <f>1.39+1.14+3.73+3.47</f>
        <v>9.73</v>
      </c>
      <c r="C22" s="13" t="s">
        <v>19</v>
      </c>
      <c r="D22" s="13"/>
      <c r="E22" s="13" t="s">
        <v>19</v>
      </c>
      <c r="F22" s="13"/>
      <c r="G22" s="17" t="s">
        <v>19</v>
      </c>
      <c r="H22" s="12" t="s">
        <v>19</v>
      </c>
      <c r="I22" s="12"/>
      <c r="J22" s="12" t="s">
        <v>19</v>
      </c>
      <c r="K22" s="12"/>
      <c r="L22" s="18" t="s">
        <v>19</v>
      </c>
      <c r="M22" s="13" t="s">
        <v>19</v>
      </c>
      <c r="N22" s="13"/>
      <c r="O22" s="13" t="s">
        <v>19</v>
      </c>
      <c r="P22" s="13"/>
      <c r="Q22" s="17" t="s">
        <v>19</v>
      </c>
      <c r="R22" s="14" t="s">
        <v>19</v>
      </c>
      <c r="S22" s="14"/>
      <c r="T22" s="14" t="s">
        <v>19</v>
      </c>
      <c r="U22" s="14"/>
      <c r="V22" s="14" t="s">
        <v>19</v>
      </c>
      <c r="W22" s="13" t="s">
        <v>19</v>
      </c>
      <c r="X22" s="13"/>
      <c r="Y22" s="13" t="s">
        <v>19</v>
      </c>
      <c r="Z22" s="13"/>
      <c r="AA22" s="13" t="s">
        <v>19</v>
      </c>
      <c r="AB22" s="12" t="s">
        <v>19</v>
      </c>
      <c r="AC22" s="12"/>
      <c r="AD22" s="12" t="s">
        <v>19</v>
      </c>
      <c r="AE22" s="12"/>
      <c r="AF22" s="12" t="s">
        <v>19</v>
      </c>
    </row>
    <row r="23" spans="1:32" ht="14">
      <c r="A23" s="11" t="s">
        <v>28</v>
      </c>
      <c r="B23" s="14">
        <v>73</v>
      </c>
      <c r="C23" s="13" t="s">
        <v>19</v>
      </c>
      <c r="D23" s="13"/>
      <c r="E23" s="13" t="s">
        <v>19</v>
      </c>
      <c r="F23" s="13"/>
      <c r="G23" s="13" t="s">
        <v>19</v>
      </c>
      <c r="H23" s="12" t="s">
        <v>19</v>
      </c>
      <c r="I23" s="12"/>
      <c r="J23" s="12" t="s">
        <v>19</v>
      </c>
      <c r="K23" s="12"/>
      <c r="L23" s="12" t="s">
        <v>19</v>
      </c>
      <c r="M23" s="13" t="s">
        <v>19</v>
      </c>
      <c r="N23" s="13"/>
      <c r="O23" s="13" t="s">
        <v>19</v>
      </c>
      <c r="P23" s="13"/>
      <c r="Q23" s="13" t="s">
        <v>19</v>
      </c>
      <c r="R23" s="12" t="s">
        <v>19</v>
      </c>
      <c r="S23" s="12"/>
      <c r="T23" s="12"/>
      <c r="U23" s="12" t="s">
        <v>19</v>
      </c>
      <c r="V23" s="12"/>
      <c r="W23" s="13" t="s">
        <v>19</v>
      </c>
      <c r="X23" s="13"/>
      <c r="Y23" s="13"/>
      <c r="Z23" s="13" t="s">
        <v>19</v>
      </c>
      <c r="AA23" s="13"/>
      <c r="AB23" s="12" t="s">
        <v>19</v>
      </c>
      <c r="AC23" s="12"/>
      <c r="AD23" s="12"/>
      <c r="AE23" s="12" t="s">
        <v>19</v>
      </c>
      <c r="AF23" s="12"/>
    </row>
    <row r="24" spans="1:32" ht="14">
      <c r="A24" s="8" t="s">
        <v>32</v>
      </c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ht="14">
      <c r="A25" s="11" t="s">
        <v>33</v>
      </c>
      <c r="B25" s="12">
        <f>1.67+3.68+1.38+1.93</f>
        <v>8.66</v>
      </c>
      <c r="C25" s="13" t="s">
        <v>19</v>
      </c>
      <c r="D25" s="13"/>
      <c r="E25" s="13" t="s">
        <v>19</v>
      </c>
      <c r="F25" s="13"/>
      <c r="G25" s="13" t="s">
        <v>19</v>
      </c>
      <c r="H25" s="12" t="s">
        <v>19</v>
      </c>
      <c r="I25" s="12"/>
      <c r="J25" s="12" t="s">
        <v>19</v>
      </c>
      <c r="K25" s="12"/>
      <c r="L25" s="12" t="s">
        <v>19</v>
      </c>
      <c r="M25" s="13" t="s">
        <v>19</v>
      </c>
      <c r="N25" s="13"/>
      <c r="O25" s="13" t="s">
        <v>19</v>
      </c>
      <c r="P25" s="13"/>
      <c r="Q25" s="13" t="s">
        <v>19</v>
      </c>
      <c r="R25" s="12" t="s">
        <v>19</v>
      </c>
      <c r="S25" s="12"/>
      <c r="T25" s="12" t="s">
        <v>19</v>
      </c>
      <c r="U25" s="12"/>
      <c r="V25" s="12" t="s">
        <v>19</v>
      </c>
      <c r="W25" s="13" t="s">
        <v>19</v>
      </c>
      <c r="X25" s="13"/>
      <c r="Y25" s="13" t="s">
        <v>19</v>
      </c>
      <c r="Z25" s="13"/>
      <c r="AA25" s="13" t="s">
        <v>19</v>
      </c>
      <c r="AB25" s="12" t="s">
        <v>19</v>
      </c>
      <c r="AC25" s="12"/>
      <c r="AD25" s="12" t="s">
        <v>19</v>
      </c>
      <c r="AE25" s="12"/>
      <c r="AF25" s="12" t="s">
        <v>19</v>
      </c>
    </row>
    <row r="26" spans="1:32" ht="14">
      <c r="A26" s="11" t="s">
        <v>34</v>
      </c>
      <c r="B26" s="12">
        <v>96</v>
      </c>
      <c r="C26" s="13" t="s">
        <v>19</v>
      </c>
      <c r="D26" s="13"/>
      <c r="E26" s="13" t="s">
        <v>19</v>
      </c>
      <c r="F26" s="13"/>
      <c r="G26" s="13" t="s">
        <v>19</v>
      </c>
      <c r="H26" s="12" t="s">
        <v>19</v>
      </c>
      <c r="I26" s="12"/>
      <c r="J26" s="12" t="s">
        <v>19</v>
      </c>
      <c r="K26" s="12"/>
      <c r="L26" s="12" t="s">
        <v>19</v>
      </c>
      <c r="M26" s="13" t="s">
        <v>19</v>
      </c>
      <c r="N26" s="13"/>
      <c r="O26" s="13" t="s">
        <v>19</v>
      </c>
      <c r="P26" s="13"/>
      <c r="Q26" s="13" t="s">
        <v>19</v>
      </c>
      <c r="R26" s="12" t="s">
        <v>19</v>
      </c>
      <c r="S26" s="12"/>
      <c r="T26" s="12" t="s">
        <v>19</v>
      </c>
      <c r="U26" s="12"/>
      <c r="V26" s="12" t="s">
        <v>19</v>
      </c>
      <c r="W26" s="13" t="s">
        <v>19</v>
      </c>
      <c r="X26" s="13"/>
      <c r="Y26" s="13" t="s">
        <v>19</v>
      </c>
      <c r="Z26" s="13"/>
      <c r="AA26" s="13" t="s">
        <v>19</v>
      </c>
      <c r="AB26" s="12" t="s">
        <v>19</v>
      </c>
      <c r="AC26" s="12"/>
      <c r="AD26" s="12" t="s">
        <v>19</v>
      </c>
      <c r="AE26" s="12"/>
      <c r="AF26" s="12" t="s">
        <v>19</v>
      </c>
    </row>
    <row r="27" spans="1:32" ht="28">
      <c r="A27" s="11" t="s">
        <v>35</v>
      </c>
      <c r="B27" s="12">
        <v>17</v>
      </c>
      <c r="C27" s="13" t="s">
        <v>19</v>
      </c>
      <c r="D27" s="19"/>
      <c r="E27" s="13"/>
      <c r="F27" s="13"/>
      <c r="G27" s="13"/>
      <c r="H27" s="12" t="s">
        <v>19</v>
      </c>
      <c r="I27" s="11"/>
      <c r="J27" s="12"/>
      <c r="K27" s="12"/>
      <c r="L27" s="12"/>
      <c r="M27" s="13" t="s">
        <v>19</v>
      </c>
      <c r="N27" s="19"/>
      <c r="O27" s="13"/>
      <c r="P27" s="13"/>
      <c r="Q27" s="13"/>
      <c r="R27" s="12" t="s">
        <v>19</v>
      </c>
      <c r="S27" s="12"/>
      <c r="T27" s="12"/>
      <c r="U27" s="12"/>
      <c r="V27" s="12"/>
      <c r="W27" s="13" t="s">
        <v>19</v>
      </c>
      <c r="X27" s="13"/>
      <c r="Y27" s="13"/>
      <c r="Z27" s="13"/>
      <c r="AA27" s="13"/>
      <c r="AB27" s="12" t="s">
        <v>19</v>
      </c>
      <c r="AC27" s="12"/>
      <c r="AD27" s="12"/>
      <c r="AE27" s="12"/>
      <c r="AF27" s="12"/>
    </row>
    <row r="28" spans="1:32" ht="14">
      <c r="A28" s="11" t="s">
        <v>36</v>
      </c>
      <c r="B28" s="12">
        <v>20</v>
      </c>
      <c r="C28" s="13" t="s">
        <v>19</v>
      </c>
      <c r="D28" s="20"/>
      <c r="E28" s="13"/>
      <c r="F28" s="13" t="s">
        <v>19</v>
      </c>
      <c r="G28" s="13"/>
      <c r="H28" s="12" t="s">
        <v>19</v>
      </c>
      <c r="I28" s="21"/>
      <c r="J28" s="12"/>
      <c r="K28" s="12" t="s">
        <v>19</v>
      </c>
      <c r="L28" s="12"/>
      <c r="M28" s="13" t="s">
        <v>19</v>
      </c>
      <c r="N28" s="20"/>
      <c r="O28" s="13"/>
      <c r="P28" s="13" t="s">
        <v>19</v>
      </c>
      <c r="Q28" s="13"/>
      <c r="R28" s="12" t="s">
        <v>19</v>
      </c>
      <c r="S28" s="12"/>
      <c r="T28" s="12"/>
      <c r="U28" s="12" t="s">
        <v>19</v>
      </c>
      <c r="V28" s="12"/>
      <c r="W28" s="13" t="s">
        <v>19</v>
      </c>
      <c r="X28" s="13"/>
      <c r="Y28" s="13"/>
      <c r="Z28" s="13" t="s">
        <v>19</v>
      </c>
      <c r="AA28" s="13"/>
      <c r="AB28" s="12" t="s">
        <v>19</v>
      </c>
      <c r="AC28" s="12"/>
      <c r="AD28" s="12"/>
      <c r="AE28" s="12" t="s">
        <v>19</v>
      </c>
      <c r="AF28" s="12"/>
    </row>
    <row r="29" spans="1:32" ht="14">
      <c r="A29" s="11" t="s">
        <v>37</v>
      </c>
      <c r="B29" s="14">
        <v>49</v>
      </c>
      <c r="C29" s="13" t="s">
        <v>19</v>
      </c>
      <c r="D29" s="19"/>
      <c r="E29" s="19"/>
      <c r="F29" s="13" t="s">
        <v>19</v>
      </c>
      <c r="G29" s="13"/>
      <c r="H29" s="12" t="s">
        <v>19</v>
      </c>
      <c r="I29" s="11"/>
      <c r="J29" s="11"/>
      <c r="K29" s="12" t="s">
        <v>19</v>
      </c>
      <c r="L29" s="12"/>
      <c r="M29" s="13" t="s">
        <v>19</v>
      </c>
      <c r="N29" s="19"/>
      <c r="O29" s="19"/>
      <c r="P29" s="13" t="s">
        <v>19</v>
      </c>
      <c r="Q29" s="13"/>
      <c r="R29" s="12" t="s">
        <v>19</v>
      </c>
      <c r="S29" s="12"/>
      <c r="T29" s="12"/>
      <c r="U29" s="12" t="s">
        <v>19</v>
      </c>
      <c r="V29" s="12"/>
      <c r="W29" s="13" t="s">
        <v>19</v>
      </c>
      <c r="X29" s="13"/>
      <c r="Y29" s="13"/>
      <c r="Z29" s="13" t="s">
        <v>19</v>
      </c>
      <c r="AA29" s="13"/>
      <c r="AB29" s="12" t="s">
        <v>19</v>
      </c>
      <c r="AC29" s="12"/>
      <c r="AD29" s="12"/>
      <c r="AE29" s="12" t="s">
        <v>19</v>
      </c>
      <c r="AF29" s="12"/>
    </row>
    <row r="30" spans="1:32" ht="15.75" customHeight="1">
      <c r="A30" s="11" t="s">
        <v>38</v>
      </c>
      <c r="B30" s="14">
        <v>100</v>
      </c>
      <c r="C30" s="19"/>
      <c r="D30" s="19"/>
      <c r="E30" s="19"/>
      <c r="F30" s="13"/>
      <c r="G30" s="13"/>
      <c r="H30" s="11"/>
      <c r="I30" s="11"/>
      <c r="J30" s="11"/>
      <c r="K30" s="12"/>
      <c r="L30" s="12"/>
      <c r="M30" s="19"/>
      <c r="N30" s="19"/>
      <c r="O30" s="19"/>
      <c r="P30" s="13"/>
      <c r="Q30" s="13"/>
      <c r="R30" s="14"/>
      <c r="S30" s="14"/>
      <c r="T30" s="14"/>
      <c r="U30" s="14"/>
      <c r="V30" s="14"/>
      <c r="W30" s="42" t="s">
        <v>39</v>
      </c>
      <c r="X30" s="42"/>
      <c r="Y30" s="42"/>
      <c r="Z30" s="42"/>
      <c r="AA30" s="42"/>
      <c r="AB30" s="12"/>
      <c r="AC30" s="12"/>
      <c r="AD30" s="12"/>
      <c r="AE30" s="12"/>
      <c r="AF30" s="12"/>
    </row>
    <row r="31" spans="1:32" ht="79.5" customHeight="1">
      <c r="A31" s="11" t="s">
        <v>40</v>
      </c>
      <c r="B31" s="14">
        <v>2</v>
      </c>
      <c r="C31" s="19"/>
      <c r="D31" s="19" t="s">
        <v>41</v>
      </c>
      <c r="E31" s="19"/>
      <c r="F31" s="13" t="s">
        <v>41</v>
      </c>
      <c r="G31" s="13"/>
      <c r="H31" s="11"/>
      <c r="I31" s="11" t="s">
        <v>41</v>
      </c>
      <c r="J31" s="11"/>
      <c r="K31" s="12" t="s">
        <v>41</v>
      </c>
      <c r="L31" s="12"/>
      <c r="M31" s="19"/>
      <c r="N31" s="19" t="s">
        <v>41</v>
      </c>
      <c r="O31" s="19"/>
      <c r="P31" s="13" t="s">
        <v>41</v>
      </c>
      <c r="Q31" s="13"/>
      <c r="R31" s="14"/>
      <c r="S31" s="14"/>
      <c r="T31" s="14"/>
      <c r="U31" s="14"/>
      <c r="V31" s="14"/>
      <c r="W31" s="15"/>
      <c r="X31" s="15"/>
      <c r="Y31" s="15"/>
      <c r="Z31" s="15"/>
      <c r="AA31" s="15"/>
      <c r="AB31" s="12"/>
      <c r="AC31" s="12"/>
      <c r="AD31" s="12"/>
      <c r="AE31" s="12"/>
      <c r="AF31" s="12"/>
    </row>
    <row r="32" spans="1:32" ht="14">
      <c r="A32" s="22" t="s">
        <v>42</v>
      </c>
      <c r="B32" s="23">
        <f>B7+B8+B9+B10+B11+B12+B13+B15+B16+B17+B19+B20+B21+B22+B23+B25+B26+B28+B27+B30+B29</f>
        <v>1210.5700000000002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28">
      <c r="A33" s="11" t="s">
        <v>43</v>
      </c>
      <c r="B33" s="12">
        <v>250</v>
      </c>
      <c r="C33" s="24"/>
      <c r="D33" s="24"/>
      <c r="E33" s="24"/>
      <c r="F33" s="24"/>
      <c r="G33" s="24"/>
      <c r="H33" s="12"/>
      <c r="I33" s="12"/>
      <c r="J33" s="12"/>
      <c r="K33" s="12"/>
      <c r="L33" s="12"/>
      <c r="M33" s="24"/>
      <c r="N33" s="24"/>
      <c r="O33" s="24"/>
      <c r="P33" s="24"/>
      <c r="Q33" s="24"/>
      <c r="R33" s="12" t="s">
        <v>19</v>
      </c>
      <c r="S33" s="12"/>
      <c r="T33" s="12"/>
      <c r="U33" s="12" t="s">
        <v>19</v>
      </c>
      <c r="V33" s="12"/>
      <c r="W33" s="24" t="s">
        <v>19</v>
      </c>
      <c r="X33" s="24"/>
      <c r="Y33" s="24"/>
      <c r="Z33" s="24" t="s">
        <v>19</v>
      </c>
      <c r="AA33" s="24"/>
      <c r="AB33" s="12" t="s">
        <v>19</v>
      </c>
      <c r="AC33" s="12"/>
      <c r="AD33" s="12"/>
      <c r="AE33" s="12" t="s">
        <v>19</v>
      </c>
      <c r="AF33" s="12"/>
    </row>
    <row r="34" spans="1:32" ht="28">
      <c r="A34" s="11" t="s">
        <v>44</v>
      </c>
      <c r="B34" s="12">
        <v>250</v>
      </c>
      <c r="C34" s="24" t="s">
        <v>19</v>
      </c>
      <c r="D34" s="24" t="s">
        <v>19</v>
      </c>
      <c r="E34" s="24" t="s">
        <v>19</v>
      </c>
      <c r="F34" s="24" t="s">
        <v>19</v>
      </c>
      <c r="G34" s="24" t="s">
        <v>19</v>
      </c>
      <c r="H34" s="12" t="s">
        <v>19</v>
      </c>
      <c r="I34" s="12" t="s">
        <v>19</v>
      </c>
      <c r="J34" s="12" t="s">
        <v>19</v>
      </c>
      <c r="K34" s="12" t="s">
        <v>19</v>
      </c>
      <c r="L34" s="12" t="s">
        <v>19</v>
      </c>
      <c r="M34" s="24" t="s">
        <v>19</v>
      </c>
      <c r="N34" s="24" t="s">
        <v>19</v>
      </c>
      <c r="O34" s="24" t="s">
        <v>19</v>
      </c>
      <c r="P34" s="24" t="s">
        <v>19</v>
      </c>
      <c r="Q34" s="24" t="s">
        <v>19</v>
      </c>
      <c r="R34" s="12"/>
      <c r="S34" s="12"/>
      <c r="T34" s="12"/>
      <c r="U34" s="12"/>
      <c r="V34" s="12"/>
      <c r="W34" s="24"/>
      <c r="X34" s="24"/>
      <c r="Y34" s="24"/>
      <c r="Z34" s="24"/>
      <c r="AA34" s="24"/>
      <c r="AB34" s="12"/>
      <c r="AC34" s="12"/>
      <c r="AD34" s="12"/>
      <c r="AE34" s="12"/>
      <c r="AF34" s="12"/>
    </row>
    <row r="35" spans="1:32" ht="14">
      <c r="A35" s="11" t="s">
        <v>45</v>
      </c>
      <c r="B35" s="12">
        <v>840</v>
      </c>
      <c r="C35" s="24"/>
      <c r="D35" s="24"/>
      <c r="E35" s="24"/>
      <c r="F35" s="24"/>
      <c r="G35" s="24"/>
      <c r="H35" s="12"/>
      <c r="I35" s="12"/>
      <c r="J35" s="12"/>
      <c r="K35" s="12"/>
      <c r="L35" s="12"/>
      <c r="M35" s="24"/>
      <c r="N35" s="24"/>
      <c r="O35" s="24"/>
      <c r="P35" s="24"/>
      <c r="Q35" s="24"/>
      <c r="R35" s="12" t="s">
        <v>19</v>
      </c>
      <c r="S35" s="12"/>
      <c r="T35" s="12"/>
      <c r="U35" s="12"/>
      <c r="V35" s="12"/>
      <c r="W35" s="24" t="s">
        <v>19</v>
      </c>
      <c r="X35" s="24"/>
      <c r="Y35" s="24"/>
      <c r="Z35" s="24"/>
      <c r="AA35" s="24"/>
      <c r="AB35" s="12" t="s">
        <v>19</v>
      </c>
      <c r="AC35" s="12"/>
      <c r="AD35" s="12"/>
      <c r="AE35" s="12"/>
      <c r="AF35" s="12"/>
    </row>
    <row r="36" spans="1:32" ht="14">
      <c r="A36" s="11" t="s">
        <v>46</v>
      </c>
      <c r="B36" s="12">
        <v>840</v>
      </c>
      <c r="C36" s="24" t="s">
        <v>19</v>
      </c>
      <c r="D36" s="24"/>
      <c r="E36" s="24"/>
      <c r="F36" s="24" t="s">
        <v>19</v>
      </c>
      <c r="G36" s="24"/>
      <c r="H36" s="12" t="s">
        <v>19</v>
      </c>
      <c r="I36" s="12"/>
      <c r="J36" s="12"/>
      <c r="K36" s="12" t="s">
        <v>19</v>
      </c>
      <c r="L36" s="12"/>
      <c r="M36" s="24" t="s">
        <v>19</v>
      </c>
      <c r="N36" s="24"/>
      <c r="O36" s="24"/>
      <c r="P36" s="24" t="s">
        <v>19</v>
      </c>
      <c r="Q36" s="24"/>
      <c r="R36" s="12"/>
      <c r="S36" s="12"/>
      <c r="T36" s="12"/>
      <c r="U36" s="12"/>
      <c r="V36" s="12"/>
      <c r="W36" s="24"/>
      <c r="X36" s="24"/>
      <c r="Y36" s="24"/>
      <c r="Z36" s="24"/>
      <c r="AA36" s="24"/>
      <c r="AB36" s="12"/>
      <c r="AC36" s="12"/>
      <c r="AD36" s="12"/>
      <c r="AE36" s="12"/>
      <c r="AF36" s="12"/>
    </row>
    <row r="37" spans="1:32" ht="15.75" customHeight="1">
      <c r="A37" s="11" t="s">
        <v>47</v>
      </c>
      <c r="B37" s="12" t="s">
        <v>48</v>
      </c>
      <c r="C37" s="43" t="s">
        <v>49</v>
      </c>
      <c r="D37" s="43"/>
      <c r="E37" s="43"/>
      <c r="F37" s="43"/>
      <c r="G37" s="43"/>
      <c r="H37" s="37" t="s">
        <v>49</v>
      </c>
      <c r="I37" s="37"/>
      <c r="J37" s="37"/>
      <c r="K37" s="37"/>
      <c r="L37" s="37"/>
      <c r="M37" s="43" t="s">
        <v>49</v>
      </c>
      <c r="N37" s="43"/>
      <c r="O37" s="43"/>
      <c r="P37" s="43"/>
      <c r="Q37" s="43"/>
      <c r="R37" s="37" t="s">
        <v>49</v>
      </c>
      <c r="S37" s="37"/>
      <c r="T37" s="37"/>
      <c r="U37" s="37"/>
      <c r="V37" s="37"/>
      <c r="W37" s="43" t="s">
        <v>49</v>
      </c>
      <c r="X37" s="43"/>
      <c r="Y37" s="43"/>
      <c r="Z37" s="43"/>
      <c r="AA37" s="43"/>
      <c r="AB37" s="37" t="s">
        <v>49</v>
      </c>
      <c r="AC37" s="37"/>
      <c r="AD37" s="37"/>
      <c r="AE37" s="37"/>
      <c r="AF37" s="37"/>
    </row>
    <row r="38" spans="1:32" ht="15.75" customHeight="1">
      <c r="A38" s="11" t="s">
        <v>50</v>
      </c>
      <c r="B38" s="12" t="s">
        <v>51</v>
      </c>
      <c r="C38" s="26"/>
      <c r="D38" s="26"/>
      <c r="E38" s="26"/>
      <c r="F38" s="26"/>
      <c r="G38" s="26"/>
      <c r="H38" s="11"/>
      <c r="I38" s="11"/>
      <c r="J38" s="11"/>
      <c r="K38" s="11"/>
      <c r="L38" s="11"/>
      <c r="M38" s="26"/>
      <c r="N38" s="26"/>
      <c r="O38" s="26"/>
      <c r="P38" s="26"/>
      <c r="Q38" s="26"/>
      <c r="R38" s="11"/>
      <c r="S38" s="11"/>
      <c r="T38" s="11"/>
      <c r="U38" s="11"/>
      <c r="V38" s="11"/>
      <c r="W38" s="43" t="s">
        <v>52</v>
      </c>
      <c r="X38" s="43"/>
      <c r="Y38" s="43"/>
      <c r="Z38" s="43"/>
      <c r="AA38" s="43"/>
      <c r="AB38" s="27"/>
      <c r="AC38" s="27"/>
      <c r="AD38" s="27"/>
      <c r="AE38" s="27"/>
      <c r="AF38" s="27"/>
    </row>
    <row r="39" spans="1:32" ht="15.75" customHeight="1">
      <c r="A39" s="11" t="s">
        <v>53</v>
      </c>
      <c r="B39" s="12" t="s">
        <v>51</v>
      </c>
      <c r="C39" s="26"/>
      <c r="D39" s="26"/>
      <c r="E39" s="26"/>
      <c r="F39" s="26"/>
      <c r="G39" s="26"/>
      <c r="H39" s="11"/>
      <c r="I39" s="11"/>
      <c r="J39" s="11"/>
      <c r="K39" s="11"/>
      <c r="L39" s="11"/>
      <c r="M39" s="26"/>
      <c r="N39" s="26"/>
      <c r="O39" s="26"/>
      <c r="P39" s="26"/>
      <c r="Q39" s="26"/>
      <c r="R39" s="11"/>
      <c r="S39" s="11"/>
      <c r="T39" s="11"/>
      <c r="U39" s="11"/>
      <c r="V39" s="11"/>
      <c r="W39" s="43" t="s">
        <v>52</v>
      </c>
      <c r="X39" s="43"/>
      <c r="Y39" s="43"/>
      <c r="Z39" s="43"/>
      <c r="AA39" s="43"/>
      <c r="AB39" s="27"/>
      <c r="AC39" s="27"/>
      <c r="AD39" s="27"/>
      <c r="AE39" s="27"/>
      <c r="AF39" s="27"/>
    </row>
    <row r="40" spans="1:32" ht="18.75" customHeight="1">
      <c r="A40" s="11" t="s">
        <v>54</v>
      </c>
      <c r="B40" s="12">
        <v>140</v>
      </c>
      <c r="C40" s="24"/>
      <c r="D40" s="24"/>
      <c r="E40" s="24"/>
      <c r="F40" s="24"/>
      <c r="G40" s="24"/>
      <c r="H40" s="12"/>
      <c r="I40" s="12"/>
      <c r="J40" s="12"/>
      <c r="K40" s="12"/>
      <c r="L40" s="12"/>
      <c r="M40" s="24"/>
      <c r="N40" s="24"/>
      <c r="O40" s="24"/>
      <c r="P40" s="24"/>
      <c r="Q40" s="24"/>
      <c r="R40" s="37" t="s">
        <v>55</v>
      </c>
      <c r="S40" s="37"/>
      <c r="T40" s="37"/>
      <c r="U40" s="37"/>
      <c r="V40" s="37"/>
      <c r="W40" s="43" t="s">
        <v>55</v>
      </c>
      <c r="X40" s="43"/>
      <c r="Y40" s="43"/>
      <c r="Z40" s="43"/>
      <c r="AA40" s="43"/>
      <c r="AB40" s="37" t="s">
        <v>55</v>
      </c>
      <c r="AC40" s="37"/>
      <c r="AD40" s="37"/>
      <c r="AE40" s="37"/>
      <c r="AF40" s="37"/>
    </row>
    <row r="41" spans="1:32" ht="42.25" customHeight="1">
      <c r="A41" s="28" t="s">
        <v>56</v>
      </c>
      <c r="B41" s="12">
        <v>309</v>
      </c>
      <c r="C41" s="24"/>
      <c r="D41" s="24"/>
      <c r="E41" s="24"/>
      <c r="F41" s="24"/>
      <c r="G41" s="24"/>
      <c r="H41" s="12"/>
      <c r="I41" s="12"/>
      <c r="J41" s="12"/>
      <c r="K41" s="12"/>
      <c r="L41" s="12"/>
      <c r="M41" s="24"/>
      <c r="N41" s="24"/>
      <c r="O41" s="24"/>
      <c r="P41" s="24"/>
      <c r="Q41" s="24"/>
      <c r="R41" s="4"/>
      <c r="S41" s="4"/>
      <c r="T41" s="4"/>
      <c r="U41" s="4"/>
      <c r="V41" s="4"/>
      <c r="W41" s="43" t="s">
        <v>57</v>
      </c>
      <c r="X41" s="43"/>
      <c r="Y41" s="43"/>
      <c r="Z41" s="43"/>
      <c r="AA41" s="43"/>
      <c r="AB41" s="4"/>
      <c r="AC41" s="4"/>
      <c r="AD41" s="4"/>
      <c r="AE41" s="4"/>
      <c r="AF41" s="4"/>
    </row>
    <row r="42" spans="1:32" ht="39.75" customHeight="1">
      <c r="A42" s="29" t="s">
        <v>58</v>
      </c>
      <c r="B42" s="12">
        <v>1428</v>
      </c>
      <c r="C42" s="24"/>
      <c r="D42" s="24"/>
      <c r="E42" s="24"/>
      <c r="F42" s="24"/>
      <c r="G42" s="24"/>
      <c r="H42" s="37" t="s">
        <v>59</v>
      </c>
      <c r="I42" s="37"/>
      <c r="J42" s="37"/>
      <c r="K42" s="37"/>
      <c r="L42" s="37"/>
      <c r="M42" s="24"/>
      <c r="N42" s="24"/>
      <c r="O42" s="24"/>
      <c r="P42" s="24"/>
      <c r="Q42" s="24"/>
      <c r="R42" s="4"/>
      <c r="S42" s="4"/>
      <c r="T42" s="4"/>
      <c r="U42" s="4"/>
      <c r="V42" s="4"/>
      <c r="W42" s="25"/>
      <c r="X42" s="25"/>
      <c r="Y42" s="25"/>
      <c r="Z42" s="25"/>
      <c r="AA42" s="25"/>
      <c r="AB42" s="4"/>
      <c r="AC42" s="4"/>
      <c r="AD42" s="4"/>
      <c r="AE42" s="4"/>
      <c r="AF42" s="4"/>
    </row>
    <row r="43" spans="1:32" ht="18.75" customHeight="1">
      <c r="A43" s="11" t="s">
        <v>60</v>
      </c>
      <c r="B43" s="12">
        <v>350</v>
      </c>
      <c r="C43" s="24"/>
      <c r="D43" s="24"/>
      <c r="E43" s="24"/>
      <c r="F43" s="24"/>
      <c r="G43" s="24"/>
      <c r="H43" s="12"/>
      <c r="I43" s="12"/>
      <c r="J43" s="12"/>
      <c r="K43" s="12"/>
      <c r="L43" s="12"/>
      <c r="M43" s="24"/>
      <c r="N43" s="24"/>
      <c r="O43" s="24"/>
      <c r="P43" s="24"/>
      <c r="Q43" s="24"/>
      <c r="R43" s="12"/>
      <c r="S43" s="12"/>
      <c r="T43" s="12"/>
      <c r="U43" s="12"/>
      <c r="V43" s="12"/>
      <c r="W43" s="43" t="s">
        <v>57</v>
      </c>
      <c r="X43" s="43"/>
      <c r="Y43" s="43"/>
      <c r="Z43" s="43"/>
      <c r="AA43" s="43"/>
      <c r="AB43" s="12"/>
      <c r="AC43" s="12"/>
      <c r="AD43" s="12"/>
      <c r="AE43" s="12"/>
      <c r="AF43" s="12"/>
    </row>
    <row r="44" spans="1:32" ht="19.149999999999999" customHeight="1">
      <c r="A44" s="30" t="s">
        <v>61</v>
      </c>
      <c r="B44" s="12">
        <v>649</v>
      </c>
      <c r="C44" s="24"/>
      <c r="D44" s="24"/>
      <c r="E44" s="24"/>
      <c r="F44" s="24"/>
      <c r="G44" s="24"/>
      <c r="H44" s="12"/>
      <c r="I44" s="12"/>
      <c r="J44" s="12"/>
      <c r="K44" s="12"/>
      <c r="L44" s="12"/>
      <c r="M44" s="24"/>
      <c r="N44" s="24"/>
      <c r="O44" s="24"/>
      <c r="P44" s="24"/>
      <c r="Q44" s="24"/>
      <c r="R44" s="12"/>
      <c r="S44" s="12"/>
      <c r="T44" s="12"/>
      <c r="U44" s="12"/>
      <c r="V44" s="12"/>
      <c r="W44" s="43" t="s">
        <v>57</v>
      </c>
      <c r="X44" s="43"/>
      <c r="Y44" s="43"/>
      <c r="Z44" s="43"/>
      <c r="AA44" s="43"/>
      <c r="AB44" s="12"/>
      <c r="AC44" s="12"/>
      <c r="AD44" s="12"/>
      <c r="AE44" s="12"/>
      <c r="AF44" s="12"/>
    </row>
    <row r="45" spans="1:32" ht="31.5" customHeight="1">
      <c r="A45" s="31" t="s">
        <v>62</v>
      </c>
      <c r="B45" s="32">
        <v>190</v>
      </c>
      <c r="C45" s="24"/>
      <c r="D45" s="24"/>
      <c r="E45" s="24"/>
      <c r="F45" s="24"/>
      <c r="G45" s="24"/>
      <c r="H45" s="12"/>
      <c r="I45" s="12"/>
      <c r="J45" s="12"/>
      <c r="K45" s="12"/>
      <c r="L45" s="12"/>
      <c r="M45" s="24"/>
      <c r="N45" s="24"/>
      <c r="O45" s="24"/>
      <c r="P45" s="24"/>
      <c r="Q45" s="24"/>
      <c r="R45" s="14"/>
      <c r="S45" s="14"/>
      <c r="T45" s="14"/>
      <c r="U45" s="14"/>
      <c r="V45" s="14"/>
      <c r="W45" s="43" t="s">
        <v>57</v>
      </c>
      <c r="X45" s="43"/>
      <c r="Y45" s="43"/>
      <c r="Z45" s="43"/>
      <c r="AA45" s="43"/>
      <c r="AB45" s="12"/>
      <c r="AC45" s="12"/>
      <c r="AD45" s="12"/>
      <c r="AE45" s="12"/>
      <c r="AF45" s="12"/>
    </row>
    <row r="46" spans="1:32" ht="18.25" customHeight="1">
      <c r="A46" s="33" t="s">
        <v>63</v>
      </c>
      <c r="B46" s="12">
        <v>10</v>
      </c>
      <c r="C46" s="43" t="s">
        <v>49</v>
      </c>
      <c r="D46" s="43"/>
      <c r="E46" s="43"/>
      <c r="F46" s="43"/>
      <c r="G46" s="43"/>
      <c r="H46" s="37" t="s">
        <v>49</v>
      </c>
      <c r="I46" s="37"/>
      <c r="J46" s="37"/>
      <c r="K46" s="37"/>
      <c r="L46" s="37"/>
      <c r="M46" s="43" t="s">
        <v>49</v>
      </c>
      <c r="N46" s="43"/>
      <c r="O46" s="43"/>
      <c r="P46" s="43"/>
      <c r="Q46" s="43"/>
      <c r="R46" s="37" t="s">
        <v>49</v>
      </c>
      <c r="S46" s="37"/>
      <c r="T46" s="37"/>
      <c r="U46" s="37"/>
      <c r="V46" s="37"/>
      <c r="W46" s="43" t="s">
        <v>49</v>
      </c>
      <c r="X46" s="43"/>
      <c r="Y46" s="43"/>
      <c r="Z46" s="43"/>
      <c r="AA46" s="43"/>
      <c r="AB46" s="37" t="s">
        <v>49</v>
      </c>
      <c r="AC46" s="37"/>
      <c r="AD46" s="37"/>
      <c r="AE46" s="37"/>
      <c r="AF46" s="37"/>
    </row>
    <row r="47" spans="1:32" ht="18.25" customHeight="1">
      <c r="A47" s="33" t="s">
        <v>64</v>
      </c>
      <c r="B47" s="12">
        <v>45</v>
      </c>
      <c r="C47" s="43" t="s">
        <v>49</v>
      </c>
      <c r="D47" s="43"/>
      <c r="E47" s="43"/>
      <c r="F47" s="43"/>
      <c r="G47" s="43"/>
      <c r="H47" s="37" t="s">
        <v>49</v>
      </c>
      <c r="I47" s="37"/>
      <c r="J47" s="37"/>
      <c r="K47" s="37"/>
      <c r="L47" s="37"/>
      <c r="M47" s="43" t="s">
        <v>49</v>
      </c>
      <c r="N47" s="43"/>
      <c r="O47" s="43"/>
      <c r="P47" s="43"/>
      <c r="Q47" s="43"/>
      <c r="R47" s="37" t="s">
        <v>49</v>
      </c>
      <c r="S47" s="37"/>
      <c r="T47" s="37"/>
      <c r="U47" s="37"/>
      <c r="V47" s="37"/>
      <c r="W47" s="43" t="s">
        <v>49</v>
      </c>
      <c r="X47" s="43"/>
      <c r="Y47" s="43"/>
      <c r="Z47" s="43"/>
      <c r="AA47" s="43"/>
      <c r="AB47" s="37" t="s">
        <v>49</v>
      </c>
      <c r="AC47" s="37"/>
      <c r="AD47" s="37"/>
      <c r="AE47" s="37"/>
      <c r="AF47" s="37"/>
    </row>
    <row r="48" spans="1:32" ht="15.75" customHeight="1">
      <c r="A48" s="21"/>
      <c r="B48" s="1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 spans="1:34" ht="30" customHeight="1">
      <c r="A49" s="34" t="s">
        <v>65</v>
      </c>
      <c r="B49" s="5" t="s">
        <v>66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H49" s="35"/>
    </row>
    <row r="50" spans="1:34" ht="15.75" customHeight="1"/>
  </sheetData>
  <mergeCells count="38">
    <mergeCell ref="AB46:AF46"/>
    <mergeCell ref="C47:G47"/>
    <mergeCell ref="H47:L47"/>
    <mergeCell ref="M47:Q47"/>
    <mergeCell ref="R47:V47"/>
    <mergeCell ref="W47:AA47"/>
    <mergeCell ref="AB47:AF47"/>
    <mergeCell ref="H42:L42"/>
    <mergeCell ref="W43:AA43"/>
    <mergeCell ref="W44:AA44"/>
    <mergeCell ref="W45:AA45"/>
    <mergeCell ref="C46:G46"/>
    <mergeCell ref="H46:L46"/>
    <mergeCell ref="M46:Q46"/>
    <mergeCell ref="R46:V46"/>
    <mergeCell ref="W46:AA46"/>
    <mergeCell ref="W38:AA38"/>
    <mergeCell ref="W39:AA39"/>
    <mergeCell ref="R40:V40"/>
    <mergeCell ref="W40:AA40"/>
    <mergeCell ref="AB40:AF40"/>
    <mergeCell ref="W41:AA41"/>
    <mergeCell ref="W4:AA4"/>
    <mergeCell ref="AB4:AF4"/>
    <mergeCell ref="M13:Q13"/>
    <mergeCell ref="W30:AA30"/>
    <mergeCell ref="C37:G37"/>
    <mergeCell ref="H37:L37"/>
    <mergeCell ref="M37:Q37"/>
    <mergeCell ref="R37:V37"/>
    <mergeCell ref="W37:AA37"/>
    <mergeCell ref="AB37:AF37"/>
    <mergeCell ref="C1:T1"/>
    <mergeCell ref="B4:B5"/>
    <mergeCell ref="C4:G4"/>
    <mergeCell ref="H4:L4"/>
    <mergeCell ref="M4:Q4"/>
    <mergeCell ref="R4:V4"/>
  </mergeCells>
  <pageMargins left="0" right="0" top="0.39370078740157505" bottom="0.39370078740157505" header="0" footer="0"/>
  <pageSetup paperSize="0" scale="45" fitToWidth="0" fitToHeight="0" pageOrder="overThenDown" orientation="landscape" useFirstPageNumber="1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Jūratė Gataveckienė</dc:creator>
  <cp:lastModifiedBy>Sigita Abasovienė</cp:lastModifiedBy>
  <cp:revision>7</cp:revision>
  <dcterms:created xsi:type="dcterms:W3CDTF">2024-07-17T11:39:09Z</dcterms:created>
  <dcterms:modified xsi:type="dcterms:W3CDTF">2026-01-18T17:25:41Z</dcterms:modified>
</cp:coreProperties>
</file>